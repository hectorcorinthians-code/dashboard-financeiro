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a62fc7eb88b745/Área de Trabalho/"/>
    </mc:Choice>
  </mc:AlternateContent>
  <xr:revisionPtr revIDLastSave="295" documentId="8_{BB6C0642-0F51-4EA2-946B-EA19A88FDEA1}" xr6:coauthVersionLast="47" xr6:coauthVersionMax="47" xr10:uidLastSave="{3F53BECA-3075-46D8-8E01-5D630C7D4005}"/>
  <bookViews>
    <workbookView xWindow="-120" yWindow="-120" windowWidth="29040" windowHeight="15720" xr2:uid="{00000000-000D-0000-FFFF-FFFF00000000}"/>
  </bookViews>
  <sheets>
    <sheet name="Produtos" sheetId="1" r:id="rId1"/>
    <sheet name="Vendas diárias" sheetId="2" r:id="rId2"/>
    <sheet name="Financeiro" sheetId="3" r:id="rId3"/>
    <sheet name="Resumo" sheetId="4" r:id="rId4"/>
    <sheet name="Vendas" sheetId="5" r:id="rId5"/>
    <sheet name="Estoque inicio Loj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5" l="1"/>
  <c r="D9" i="5"/>
  <c r="D8" i="5"/>
  <c r="D14" i="5"/>
  <c r="D13" i="5"/>
  <c r="D12" i="5"/>
  <c r="D11" i="5"/>
  <c r="D10" i="5"/>
  <c r="C16" i="1"/>
  <c r="G15" i="1"/>
  <c r="G14" i="1"/>
  <c r="D41" i="5"/>
  <c r="D68" i="6"/>
  <c r="E67" i="6"/>
  <c r="D67" i="6"/>
  <c r="D69" i="6" s="1"/>
  <c r="C61" i="6"/>
  <c r="C60" i="6"/>
  <c r="C59" i="6"/>
  <c r="C58" i="6"/>
  <c r="C57" i="6"/>
  <c r="C56" i="6"/>
  <c r="C55" i="6"/>
  <c r="C54" i="6"/>
  <c r="C53" i="6"/>
  <c r="C52" i="6"/>
  <c r="C51" i="6"/>
  <c r="C50" i="6"/>
  <c r="C62" i="6" s="1"/>
  <c r="C46" i="6"/>
  <c r="C45" i="6"/>
  <c r="C44" i="6"/>
  <c r="C43" i="6"/>
  <c r="C42" i="6"/>
  <c r="C41" i="6"/>
  <c r="C40" i="6"/>
  <c r="C39" i="6"/>
  <c r="C38" i="6"/>
  <c r="C37" i="6"/>
  <c r="C36" i="6"/>
  <c r="C35" i="6"/>
  <c r="C47" i="6" s="1"/>
  <c r="G28" i="6"/>
  <c r="G27" i="6"/>
  <c r="G26" i="6"/>
  <c r="G25" i="6"/>
  <c r="G24" i="6"/>
  <c r="G23" i="6"/>
  <c r="G22" i="6"/>
  <c r="G21" i="6"/>
  <c r="G20" i="6"/>
  <c r="G19" i="6"/>
  <c r="G18" i="6"/>
  <c r="G17" i="6"/>
  <c r="T14" i="6"/>
  <c r="N14" i="6"/>
  <c r="I14" i="6"/>
  <c r="Q13" i="6"/>
  <c r="F13" i="6"/>
  <c r="M13" i="6" s="1"/>
  <c r="M12" i="6"/>
  <c r="O12" i="6" s="1"/>
  <c r="Q12" i="6" s="1"/>
  <c r="Q11" i="6"/>
  <c r="F11" i="6"/>
  <c r="M11" i="6" s="1"/>
  <c r="Q10" i="6"/>
  <c r="F10" i="6"/>
  <c r="M10" i="6" s="1"/>
  <c r="F9" i="6"/>
  <c r="M9" i="6" s="1"/>
  <c r="O9" i="6" s="1"/>
  <c r="Q9" i="6" s="1"/>
  <c r="F8" i="6"/>
  <c r="M8" i="6" s="1"/>
  <c r="O8" i="6" s="1"/>
  <c r="Q8" i="6" s="1"/>
  <c r="F7" i="6"/>
  <c r="M7" i="6" s="1"/>
  <c r="O7" i="6" s="1"/>
  <c r="Q7" i="6" s="1"/>
  <c r="M6" i="6"/>
  <c r="O6" i="6" s="1"/>
  <c r="Q6" i="6" s="1"/>
  <c r="Q5" i="6"/>
  <c r="F5" i="6"/>
  <c r="M5" i="6" s="1"/>
  <c r="Q4" i="6"/>
  <c r="F4" i="6"/>
  <c r="M4" i="6" s="1"/>
  <c r="Q3" i="6"/>
  <c r="F3" i="6"/>
  <c r="M3" i="6" s="1"/>
  <c r="F2" i="6"/>
  <c r="M2" i="6" s="1"/>
  <c r="O2" i="6" s="1"/>
  <c r="Q2" i="6" s="1"/>
  <c r="B4" i="5"/>
  <c r="F78" i="2"/>
  <c r="F76" i="2"/>
  <c r="F74" i="2"/>
  <c r="F72" i="2"/>
  <c r="F68" i="2"/>
  <c r="F77" i="2"/>
  <c r="F75" i="2"/>
  <c r="F73" i="2"/>
  <c r="F71" i="2"/>
  <c r="F67" i="2"/>
  <c r="H79" i="2"/>
  <c r="G79" i="2"/>
  <c r="E79" i="2"/>
  <c r="G78" i="2"/>
  <c r="H78" i="2" s="1"/>
  <c r="G77" i="2"/>
  <c r="H77" i="2" s="1"/>
  <c r="G76" i="2"/>
  <c r="G75" i="2"/>
  <c r="H75" i="2" s="1"/>
  <c r="G74" i="2"/>
  <c r="G73" i="2"/>
  <c r="G72" i="2"/>
  <c r="G71" i="2"/>
  <c r="G70" i="2"/>
  <c r="F70" i="2"/>
  <c r="G69" i="2"/>
  <c r="F69" i="2"/>
  <c r="G68" i="2"/>
  <c r="H68" i="2" s="1"/>
  <c r="G67" i="2"/>
  <c r="F47" i="2"/>
  <c r="H63" i="2"/>
  <c r="G63" i="2"/>
  <c r="E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H56" i="2" s="1"/>
  <c r="G55" i="2"/>
  <c r="H55" i="2" s="1"/>
  <c r="G54" i="2"/>
  <c r="F54" i="2"/>
  <c r="G53" i="2"/>
  <c r="F53" i="2"/>
  <c r="G52" i="2"/>
  <c r="H52" i="2" s="1"/>
  <c r="G51" i="2"/>
  <c r="H51" i="2" s="1"/>
  <c r="H47" i="2"/>
  <c r="G47" i="2"/>
  <c r="E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H40" i="2" s="1"/>
  <c r="G39" i="2"/>
  <c r="H39" i="2" s="1"/>
  <c r="G38" i="2"/>
  <c r="F38" i="2"/>
  <c r="G37" i="2"/>
  <c r="F37" i="2"/>
  <c r="G36" i="2"/>
  <c r="H36" i="2" s="1"/>
  <c r="G35" i="2"/>
  <c r="H35" i="2" s="1"/>
  <c r="H31" i="2"/>
  <c r="G31" i="2"/>
  <c r="E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H24" i="2" s="1"/>
  <c r="G23" i="2"/>
  <c r="H23" i="2" s="1"/>
  <c r="G22" i="2"/>
  <c r="F22" i="2"/>
  <c r="G21" i="2"/>
  <c r="F21" i="2"/>
  <c r="G20" i="2"/>
  <c r="H20" i="2" s="1"/>
  <c r="G19" i="2"/>
  <c r="H19" i="2" s="1"/>
  <c r="H16" i="2"/>
  <c r="J15" i="1"/>
  <c r="J14" i="1"/>
  <c r="E21" i="4"/>
  <c r="D21" i="4"/>
  <c r="A21" i="4"/>
  <c r="E20" i="4"/>
  <c r="D20" i="4"/>
  <c r="A20" i="4"/>
  <c r="E19" i="4"/>
  <c r="D19" i="4"/>
  <c r="A19" i="4"/>
  <c r="E18" i="4"/>
  <c r="D18" i="4"/>
  <c r="A18" i="4"/>
  <c r="E17" i="4"/>
  <c r="D17" i="4"/>
  <c r="A17" i="4"/>
  <c r="E16" i="4"/>
  <c r="D16" i="4"/>
  <c r="A16" i="4"/>
  <c r="E15" i="4"/>
  <c r="D15" i="4"/>
  <c r="A15" i="4"/>
  <c r="E14" i="4"/>
  <c r="D14" i="4"/>
  <c r="A14" i="4"/>
  <c r="E13" i="4"/>
  <c r="D13" i="4"/>
  <c r="A13" i="4"/>
  <c r="E12" i="4"/>
  <c r="D12" i="4"/>
  <c r="A12" i="4"/>
  <c r="E4" i="4"/>
  <c r="F10" i="3"/>
  <c r="D9" i="3"/>
  <c r="C9" i="3"/>
  <c r="B9" i="3"/>
  <c r="C8" i="3"/>
  <c r="C7" i="3"/>
  <c r="D6" i="3"/>
  <c r="C6" i="3"/>
  <c r="B6" i="3"/>
  <c r="C5" i="3"/>
  <c r="C4" i="3"/>
  <c r="H104" i="2"/>
  <c r="G104" i="2"/>
  <c r="E104" i="2"/>
  <c r="F104" i="2" s="1"/>
  <c r="H103" i="2"/>
  <c r="G103" i="2"/>
  <c r="E103" i="2"/>
  <c r="F103" i="2" s="1"/>
  <c r="H102" i="2"/>
  <c r="G102" i="2"/>
  <c r="E102" i="2"/>
  <c r="F102" i="2" s="1"/>
  <c r="H101" i="2"/>
  <c r="G101" i="2"/>
  <c r="E101" i="2"/>
  <c r="F101" i="2" s="1"/>
  <c r="H100" i="2"/>
  <c r="G100" i="2"/>
  <c r="E100" i="2"/>
  <c r="F100" i="2" s="1"/>
  <c r="H99" i="2"/>
  <c r="G99" i="2"/>
  <c r="E99" i="2"/>
  <c r="F99" i="2" s="1"/>
  <c r="H98" i="2"/>
  <c r="G98" i="2"/>
  <c r="E98" i="2"/>
  <c r="F98" i="2" s="1"/>
  <c r="H97" i="2"/>
  <c r="G97" i="2"/>
  <c r="E97" i="2"/>
  <c r="F97" i="2" s="1"/>
  <c r="H96" i="2"/>
  <c r="G96" i="2"/>
  <c r="E96" i="2"/>
  <c r="F96" i="2" s="1"/>
  <c r="H95" i="2"/>
  <c r="G95" i="2"/>
  <c r="E95" i="2"/>
  <c r="F95" i="2" s="1"/>
  <c r="H94" i="2"/>
  <c r="G94" i="2"/>
  <c r="E94" i="2"/>
  <c r="F94" i="2" s="1"/>
  <c r="H93" i="2"/>
  <c r="G93" i="2"/>
  <c r="E93" i="2"/>
  <c r="F93" i="2" s="1"/>
  <c r="H92" i="2"/>
  <c r="G92" i="2"/>
  <c r="E92" i="2"/>
  <c r="F92" i="2" s="1"/>
  <c r="H91" i="2"/>
  <c r="G91" i="2"/>
  <c r="E91" i="2"/>
  <c r="F91" i="2" s="1"/>
  <c r="H90" i="2"/>
  <c r="G90" i="2"/>
  <c r="E90" i="2"/>
  <c r="F90" i="2" s="1"/>
  <c r="H89" i="2"/>
  <c r="G89" i="2"/>
  <c r="E89" i="2"/>
  <c r="F89" i="2" s="1"/>
  <c r="H88" i="2"/>
  <c r="G88" i="2"/>
  <c r="E88" i="2"/>
  <c r="F88" i="2" s="1"/>
  <c r="H87" i="2"/>
  <c r="G87" i="2"/>
  <c r="E87" i="2"/>
  <c r="F87" i="2" s="1"/>
  <c r="H86" i="2"/>
  <c r="G86" i="2"/>
  <c r="E86" i="2"/>
  <c r="F86" i="2" s="1"/>
  <c r="H85" i="2"/>
  <c r="G85" i="2"/>
  <c r="E85" i="2"/>
  <c r="F85" i="2" s="1"/>
  <c r="H84" i="2"/>
  <c r="G84" i="2"/>
  <c r="E84" i="2"/>
  <c r="F84" i="2" s="1"/>
  <c r="H83" i="2"/>
  <c r="G83" i="2"/>
  <c r="E83" i="2"/>
  <c r="F83" i="2" s="1"/>
  <c r="H82" i="2"/>
  <c r="G82" i="2"/>
  <c r="E82" i="2"/>
  <c r="F82" i="2" s="1"/>
  <c r="H81" i="2"/>
  <c r="G81" i="2"/>
  <c r="E81" i="2"/>
  <c r="F81" i="2" s="1"/>
  <c r="H80" i="2"/>
  <c r="G80" i="2"/>
  <c r="E80" i="2"/>
  <c r="F80" i="2" s="1"/>
  <c r="H65" i="2"/>
  <c r="G65" i="2"/>
  <c r="E65" i="2"/>
  <c r="F65" i="2" s="1"/>
  <c r="H64" i="2"/>
  <c r="G64" i="2"/>
  <c r="E64" i="2"/>
  <c r="F64" i="2" s="1"/>
  <c r="H49" i="2"/>
  <c r="G49" i="2"/>
  <c r="E49" i="2"/>
  <c r="F49" i="2" s="1"/>
  <c r="H48" i="2"/>
  <c r="G48" i="2"/>
  <c r="E48" i="2"/>
  <c r="F48" i="2" s="1"/>
  <c r="H33" i="2"/>
  <c r="G33" i="2"/>
  <c r="E33" i="2"/>
  <c r="F33" i="2" s="1"/>
  <c r="H32" i="2"/>
  <c r="G32" i="2"/>
  <c r="E32" i="2"/>
  <c r="F32" i="2" s="1"/>
  <c r="H17" i="2"/>
  <c r="G17" i="2"/>
  <c r="E17" i="2"/>
  <c r="F17" i="2" s="1"/>
  <c r="G16" i="2"/>
  <c r="E16" i="2"/>
  <c r="G15" i="2"/>
  <c r="F15" i="2"/>
  <c r="F16" i="2" s="1"/>
  <c r="G14" i="2"/>
  <c r="F14" i="2"/>
  <c r="G13" i="2"/>
  <c r="F13" i="2"/>
  <c r="G12" i="2"/>
  <c r="F12" i="2"/>
  <c r="G11" i="2"/>
  <c r="F11" i="2"/>
  <c r="G10" i="2"/>
  <c r="F10" i="2"/>
  <c r="G9" i="2"/>
  <c r="G8" i="2"/>
  <c r="M7" i="2"/>
  <c r="G7" i="2"/>
  <c r="F7" i="2"/>
  <c r="M6" i="2"/>
  <c r="G6" i="2"/>
  <c r="F6" i="2"/>
  <c r="G5" i="2"/>
  <c r="G4" i="2"/>
  <c r="J13" i="1"/>
  <c r="E13" i="1"/>
  <c r="D13" i="1"/>
  <c r="G13" i="1" s="1"/>
  <c r="J12" i="1"/>
  <c r="E12" i="1"/>
  <c r="D12" i="1"/>
  <c r="G12" i="1" s="1"/>
  <c r="J11" i="1"/>
  <c r="D11" i="1"/>
  <c r="G11" i="1" s="1"/>
  <c r="J10" i="1"/>
  <c r="D10" i="1"/>
  <c r="G10" i="1" s="1"/>
  <c r="J9" i="1"/>
  <c r="D9" i="1"/>
  <c r="G9" i="1" s="1"/>
  <c r="J8" i="1"/>
  <c r="D8" i="1"/>
  <c r="G8" i="1" s="1"/>
  <c r="J7" i="1"/>
  <c r="E7" i="1"/>
  <c r="D7" i="1"/>
  <c r="G7" i="1" s="1"/>
  <c r="J6" i="1"/>
  <c r="D6" i="1"/>
  <c r="G6" i="1" s="1"/>
  <c r="J5" i="1"/>
  <c r="E5" i="1"/>
  <c r="E16" i="1" s="1"/>
  <c r="D5" i="1"/>
  <c r="G5" i="1" s="1"/>
  <c r="J4" i="1"/>
  <c r="D4" i="1"/>
  <c r="G4" i="1" s="1"/>
  <c r="G16" i="1" l="1"/>
  <c r="H57" i="2"/>
  <c r="H54" i="2"/>
  <c r="H58" i="2"/>
  <c r="H59" i="2"/>
  <c r="H45" i="2"/>
  <c r="H46" i="2"/>
  <c r="H38" i="2"/>
  <c r="H70" i="2"/>
  <c r="H62" i="2"/>
  <c r="H60" i="2"/>
  <c r="H61" i="2"/>
  <c r="H76" i="2"/>
  <c r="H74" i="2"/>
  <c r="H73" i="2"/>
  <c r="H44" i="2"/>
  <c r="H72" i="2"/>
  <c r="H71" i="2"/>
  <c r="H67" i="2"/>
  <c r="H41" i="2"/>
  <c r="F79" i="2"/>
  <c r="H69" i="2"/>
  <c r="H42" i="2"/>
  <c r="H43" i="2"/>
  <c r="H22" i="2"/>
  <c r="F63" i="2"/>
  <c r="H53" i="2"/>
  <c r="M14" i="1"/>
  <c r="K14" i="1"/>
  <c r="H26" i="2"/>
  <c r="H25" i="2"/>
  <c r="H30" i="2"/>
  <c r="H29" i="2"/>
  <c r="H28" i="2"/>
  <c r="H27" i="2"/>
  <c r="H37" i="2"/>
  <c r="F31" i="2"/>
  <c r="B8" i="3"/>
  <c r="H21" i="2"/>
  <c r="M15" i="1"/>
  <c r="K15" i="1"/>
  <c r="H7" i="2"/>
  <c r="H15" i="2"/>
  <c r="H14" i="2"/>
  <c r="H10" i="2"/>
  <c r="H8" i="2"/>
  <c r="H11" i="2"/>
  <c r="H12" i="2"/>
  <c r="H13" i="2"/>
  <c r="H9" i="2"/>
  <c r="C10" i="3"/>
  <c r="B20" i="4"/>
  <c r="B21" i="4"/>
  <c r="K9" i="1"/>
  <c r="K6" i="1"/>
  <c r="K8" i="1"/>
  <c r="K7" i="1"/>
  <c r="G7" i="4"/>
  <c r="E9" i="3"/>
  <c r="G9" i="3"/>
  <c r="G6" i="3"/>
  <c r="E6" i="3"/>
  <c r="H6" i="2"/>
  <c r="D7" i="3" s="1"/>
  <c r="B7" i="3"/>
  <c r="H5" i="2"/>
  <c r="D5" i="3" s="1"/>
  <c r="B5" i="3"/>
  <c r="J8" i="3"/>
  <c r="A4" i="4"/>
  <c r="H4" i="2"/>
  <c r="B4" i="3"/>
  <c r="J4" i="3"/>
  <c r="M4" i="2"/>
  <c r="E7" i="4"/>
  <c r="D16" i="1"/>
  <c r="K4" i="1"/>
  <c r="K11" i="1" l="1"/>
  <c r="B19" i="4"/>
  <c r="M11" i="1"/>
  <c r="C19" i="4" s="1"/>
  <c r="D8" i="3"/>
  <c r="G8" i="3"/>
  <c r="E8" i="3"/>
  <c r="K10" i="1"/>
  <c r="M10" i="1"/>
  <c r="C18" i="4" s="1"/>
  <c r="B18" i="4"/>
  <c r="K5" i="1"/>
  <c r="M5" i="1"/>
  <c r="C13" i="4" s="1"/>
  <c r="M12" i="1"/>
  <c r="C20" i="4" s="1"/>
  <c r="K12" i="1"/>
  <c r="K13" i="1"/>
  <c r="M13" i="1"/>
  <c r="C21" i="4" s="1"/>
  <c r="B17" i="4"/>
  <c r="M9" i="1"/>
  <c r="C17" i="4" s="1"/>
  <c r="B13" i="4"/>
  <c r="M6" i="1"/>
  <c r="C14" i="4" s="1"/>
  <c r="B14" i="4"/>
  <c r="M8" i="1"/>
  <c r="C16" i="4" s="1"/>
  <c r="B16" i="4"/>
  <c r="M7" i="1"/>
  <c r="C15" i="4" s="1"/>
  <c r="B15" i="4"/>
  <c r="G7" i="3"/>
  <c r="E7" i="3"/>
  <c r="E5" i="3"/>
  <c r="G5" i="3"/>
  <c r="D4" i="3"/>
  <c r="J6" i="3"/>
  <c r="M5" i="2"/>
  <c r="C4" i="4"/>
  <c r="G4" i="3"/>
  <c r="B10" i="3"/>
  <c r="C7" i="4"/>
  <c r="E4" i="3"/>
  <c r="M4" i="1"/>
  <c r="B12" i="4"/>
  <c r="D10" i="3" l="1"/>
  <c r="K16" i="1"/>
  <c r="G4" i="4" s="1"/>
  <c r="E10" i="3"/>
  <c r="G10" i="3"/>
  <c r="J10" i="3"/>
  <c r="A7" i="4"/>
  <c r="C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I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Preencha o custo unitário estimado para calcular o lucro.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F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Altere a meta mensal por canal conforme sua estratégia.</t>
        </r>
      </text>
    </comment>
  </commentList>
</comments>
</file>

<file path=xl/sharedStrings.xml><?xml version="1.0" encoding="utf-8"?>
<sst xmlns="http://schemas.openxmlformats.org/spreadsheetml/2006/main" count="467" uniqueCount="148">
  <si>
    <t>BAUMEVIE | Cadastro de Produtos e Estoque</t>
  </si>
  <si>
    <t>Produto</t>
  </si>
  <si>
    <t>Categoria</t>
  </si>
  <si>
    <t>Estoque Inicial</t>
  </si>
  <si>
    <t>Entradas</t>
  </si>
  <si>
    <t>Vendas</t>
  </si>
  <si>
    <t>Estoque Atual</t>
  </si>
  <si>
    <t>Preço de Venda (R$)</t>
  </si>
  <si>
    <t>Custo Unitário (R$)</t>
  </si>
  <si>
    <t>Margem Unitária (R$)</t>
  </si>
  <si>
    <t>Estoque Mínimo</t>
  </si>
  <si>
    <t>Status</t>
  </si>
  <si>
    <t>Difusor</t>
  </si>
  <si>
    <t>Home Spray</t>
  </si>
  <si>
    <t>Body Splash</t>
  </si>
  <si>
    <t>Sabonete Líquido</t>
  </si>
  <si>
    <t>TOTAL</t>
  </si>
  <si>
    <t>Data</t>
  </si>
  <si>
    <t>Tipo</t>
  </si>
  <si>
    <t>Quantidade</t>
  </si>
  <si>
    <t>Preço Unitário (R$)</t>
  </si>
  <si>
    <t>Valor Total (R$)</t>
  </si>
  <si>
    <t>Custo Total (R$)</t>
  </si>
  <si>
    <t>Lucro Bruto (R$)</t>
  </si>
  <si>
    <t>Canal de Venda</t>
  </si>
  <si>
    <t>Observações</t>
  </si>
  <si>
    <t>Resumo</t>
  </si>
  <si>
    <t>16/03/2026</t>
  </si>
  <si>
    <t>Venda</t>
  </si>
  <si>
    <t>Instagram</t>
  </si>
  <si>
    <t>Vendas totais</t>
  </si>
  <si>
    <t>WhatsApp</t>
  </si>
  <si>
    <t>Lucro bruto</t>
  </si>
  <si>
    <t>Feira</t>
  </si>
  <si>
    <t>Itens vendidos</t>
  </si>
  <si>
    <t>BAUMEVIE | Resumo Financeiro e Canais</t>
  </si>
  <si>
    <t>Canal</t>
  </si>
  <si>
    <t>Faturamento (R$)</t>
  </si>
  <si>
    <t>Itens Vendidos</t>
  </si>
  <si>
    <t>Ticket Médio (R$)</t>
  </si>
  <si>
    <t>Meta Mensal (R$)</t>
  </si>
  <si>
    <t>Atingimento</t>
  </si>
  <si>
    <t>Observação</t>
  </si>
  <si>
    <t>Faturamento Total</t>
  </si>
  <si>
    <t>Lucro Bruto Total</t>
  </si>
  <si>
    <t>Site</t>
  </si>
  <si>
    <t>Ticket Médio Geral</t>
  </si>
  <si>
    <t>Loja</t>
  </si>
  <si>
    <t>Outro</t>
  </si>
  <si>
    <t>Produtos para Repor</t>
  </si>
  <si>
    <t>BAUMEVIE | Dashboard Geral</t>
  </si>
  <si>
    <t>Lucro Bruto</t>
  </si>
  <si>
    <t>Valor em Estoque</t>
  </si>
  <si>
    <t>Canal Destaque</t>
  </si>
  <si>
    <t>Ticket Médio</t>
  </si>
  <si>
    <t>Custo Total</t>
  </si>
  <si>
    <t>Produtos para acompanhar</t>
  </si>
  <si>
    <t>Como usar</t>
  </si>
  <si>
    <t>Preço</t>
  </si>
  <si>
    <t>Custo</t>
  </si>
  <si>
    <t>1. Atualize preços e custos na aba Produtos.</t>
  </si>
  <si>
    <t>2. Lance cada venda ou entrada na aba Lancamentos.</t>
  </si>
  <si>
    <t>3. Veja lucro, canais e metas na aba Financeiro.</t>
  </si>
  <si>
    <t>4. O Resumo mostra os principais indicadores.</t>
  </si>
  <si>
    <t>DIFUSOR NARDO</t>
  </si>
  <si>
    <t>DIFUSOR ACACIA</t>
  </si>
  <si>
    <t>SABONETE NARDO</t>
  </si>
  <si>
    <t>SABONETE ACÁCIA</t>
  </si>
  <si>
    <t xml:space="preserve">HOME SPRAY AMENDOA </t>
  </si>
  <si>
    <t>HOME SPRAY SANDALO</t>
  </si>
  <si>
    <t>BODY SPLASH FIGO</t>
  </si>
  <si>
    <t>BODY SPLASH ROMÃ</t>
  </si>
  <si>
    <t>REFIL SABONETE NARDO</t>
  </si>
  <si>
    <t>REFIL SABONETE ACÁCIA</t>
  </si>
  <si>
    <t>REFIL DIFUSOR NARDO</t>
  </si>
  <si>
    <t>REFIL DIFUSOR ACÁCIA</t>
  </si>
  <si>
    <t>Valor em Estoque varejo(R$)</t>
  </si>
  <si>
    <t>BAUMEVIE | Vendas Diárias</t>
  </si>
  <si>
    <t>RECEBIMENTO</t>
  </si>
  <si>
    <t>Saldo conta</t>
  </si>
  <si>
    <t>JOYCE</t>
  </si>
  <si>
    <t>GISELE</t>
  </si>
  <si>
    <t>Venda 16/02</t>
  </si>
  <si>
    <t>venda 18/02</t>
  </si>
  <si>
    <t>Casa mãe</t>
  </si>
  <si>
    <t>total estoque 19/02</t>
  </si>
  <si>
    <t>Venda 19/02</t>
  </si>
  <si>
    <t>Venda 20/02</t>
  </si>
  <si>
    <t>total 1 semana</t>
  </si>
  <si>
    <t>venda 24/02</t>
  </si>
  <si>
    <t>venda 25/02</t>
  </si>
  <si>
    <t>venda 27/02</t>
  </si>
  <si>
    <t>ESTOQUE</t>
  </si>
  <si>
    <t>VENDA 28/02</t>
  </si>
  <si>
    <t>venda 02/03/26</t>
  </si>
  <si>
    <t>Venda 05/03</t>
  </si>
  <si>
    <t>Venda 06/03</t>
  </si>
  <si>
    <t>TOTAL GERAL</t>
  </si>
  <si>
    <t>Venda 08/03/26</t>
  </si>
  <si>
    <t>venda 10/03/26</t>
  </si>
  <si>
    <t>VENDA</t>
  </si>
  <si>
    <t>Estoque 12/03</t>
  </si>
  <si>
    <t>Venda 14/03</t>
  </si>
  <si>
    <t>Venda 15/03</t>
  </si>
  <si>
    <t>Venda 16/03</t>
  </si>
  <si>
    <t>Venda 17/03</t>
  </si>
  <si>
    <t>Estoque</t>
  </si>
  <si>
    <t>VAREJO</t>
  </si>
  <si>
    <t>Total 19/02</t>
  </si>
  <si>
    <t xml:space="preserve">REFIL DIFUSOR NARDO </t>
  </si>
  <si>
    <t xml:space="preserve">REFIL SABONETE NARDO </t>
  </si>
  <si>
    <t>ATACADO</t>
  </si>
  <si>
    <t>PULSEIRA</t>
  </si>
  <si>
    <t xml:space="preserve">PINGENTE </t>
  </si>
  <si>
    <t>FIGO</t>
  </si>
  <si>
    <t>ROMÃ</t>
  </si>
  <si>
    <t>PAGO</t>
  </si>
  <si>
    <t>A PAGAR</t>
  </si>
  <si>
    <t>MARIELA</t>
  </si>
  <si>
    <t>X</t>
  </si>
  <si>
    <t>ELYS</t>
  </si>
  <si>
    <t>JOSI ELSHADAI</t>
  </si>
  <si>
    <t>ANGELICA EL SHADAI</t>
  </si>
  <si>
    <t>Entregue em 19/02/26</t>
  </si>
  <si>
    <t>Angelica 2 refis acácia</t>
  </si>
  <si>
    <t>Entregue 08/03</t>
  </si>
  <si>
    <t>! Difusor Nardo</t>
  </si>
  <si>
    <t>Entregar</t>
  </si>
  <si>
    <t xml:space="preserve">ROBERTA </t>
  </si>
  <si>
    <t>LILLIANE</t>
  </si>
  <si>
    <t>Pagará em 20/02</t>
  </si>
  <si>
    <t>Pagar final de 02/26</t>
  </si>
  <si>
    <t>JOY DIFUSOR NARDO</t>
  </si>
  <si>
    <t xml:space="preserve">Zefinha refil difusor Nardo </t>
  </si>
  <si>
    <t>pagar dia 05/03</t>
  </si>
  <si>
    <t>JO refil acacia difusor</t>
  </si>
  <si>
    <t>Glecia Difusor Acacia</t>
  </si>
  <si>
    <t>Glecia refil difusor Acácia</t>
  </si>
  <si>
    <t>CRIS</t>
  </si>
  <si>
    <t>PRISCILA</t>
  </si>
  <si>
    <t>AMOSTRA</t>
  </si>
  <si>
    <t>Lara</t>
  </si>
  <si>
    <t>João</t>
  </si>
  <si>
    <t>Cartão</t>
  </si>
  <si>
    <t>Claudia</t>
  </si>
  <si>
    <t>Diversos venda - El Shadai/BA</t>
  </si>
  <si>
    <t>Valor</t>
  </si>
  <si>
    <t>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</si>
</sst>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R\$\ #,##0.00;[Red]\-\R\$\ #,##0.0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5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4E7B8"/>
      </patternFill>
    </fill>
    <fill>
      <patternFill patternType="solid">
        <fgColor rgb="FFFBF9F3"/>
      </patternFill>
    </fill>
    <fill>
      <patternFill patternType="solid">
        <fgColor rgb="FFFFFFFF"/>
      </patternFill>
    </fill>
    <fill>
      <patternFill patternType="solid">
        <fgColor rgb="FFD9EA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/>
      <right/>
      <top style="medium">
        <color rgb="FFC9A22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164" fontId="3" fillId="3" borderId="2" xfId="0" applyNumberFormat="1" applyFont="1" applyFill="1" applyBorder="1"/>
    <xf numFmtId="0" fontId="2" fillId="2" borderId="0" xfId="0" applyFont="1" applyFill="1"/>
    <xf numFmtId="0" fontId="3" fillId="3" borderId="0" xfId="0" applyFont="1" applyFill="1"/>
    <xf numFmtId="164" fontId="3" fillId="0" borderId="0" xfId="0" applyNumberFormat="1" applyFont="1"/>
    <xf numFmtId="0" fontId="3" fillId="0" borderId="0" xfId="0" applyFont="1"/>
    <xf numFmtId="165" fontId="0" fillId="4" borderId="0" xfId="0" applyNumberFormat="1" applyFill="1"/>
    <xf numFmtId="164" fontId="4" fillId="3" borderId="0" xfId="0" applyNumberFormat="1" applyFont="1" applyFill="1" applyAlignment="1">
      <alignment horizontal="center"/>
    </xf>
    <xf numFmtId="165" fontId="0" fillId="5" borderId="0" xfId="0" applyNumberFormat="1" applyFill="1"/>
    <xf numFmtId="164" fontId="3" fillId="3" borderId="0" xfId="0" applyNumberFormat="1" applyFont="1" applyFill="1"/>
    <xf numFmtId="165" fontId="3" fillId="3" borderId="0" xfId="0" applyNumberFormat="1" applyFont="1" applyFill="1"/>
    <xf numFmtId="1" fontId="4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" fontId="4" fillId="6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4" fontId="0" fillId="4" borderId="0" xfId="0" applyNumberFormat="1" applyFill="1" applyAlignment="1">
      <alignment horizontal="left"/>
    </xf>
    <xf numFmtId="14" fontId="0" fillId="5" borderId="0" xfId="0" applyNumberForma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9" fillId="0" borderId="0" xfId="1" applyFont="1"/>
    <xf numFmtId="14" fontId="7" fillId="8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3" xfId="0" applyFont="1" applyFill="1" applyBorder="1"/>
    <xf numFmtId="0" fontId="0" fillId="0" borderId="3" xfId="0" applyBorder="1"/>
    <xf numFmtId="0" fontId="9" fillId="0" borderId="3" xfId="0" applyFont="1" applyBorder="1"/>
    <xf numFmtId="0" fontId="11" fillId="0" borderId="3" xfId="0" applyFont="1" applyBorder="1"/>
    <xf numFmtId="0" fontId="12" fillId="0" borderId="3" xfId="0" applyFont="1" applyBorder="1"/>
    <xf numFmtId="0" fontId="8" fillId="0" borderId="3" xfId="0" applyFont="1" applyBorder="1"/>
    <xf numFmtId="0" fontId="13" fillId="9" borderId="3" xfId="0" applyFont="1" applyFill="1" applyBorder="1"/>
    <xf numFmtId="43" fontId="9" fillId="0" borderId="3" xfId="1" applyFont="1" applyBorder="1"/>
    <xf numFmtId="43" fontId="0" fillId="0" borderId="3" xfId="1" applyFont="1" applyBorder="1"/>
    <xf numFmtId="43" fontId="6" fillId="0" borderId="3" xfId="1" applyFont="1" applyBorder="1"/>
    <xf numFmtId="43" fontId="9" fillId="0" borderId="3" xfId="0" applyNumberFormat="1" applyFont="1" applyBorder="1"/>
    <xf numFmtId="0" fontId="10" fillId="9" borderId="0" xfId="0" applyFont="1" applyFill="1"/>
    <xf numFmtId="43" fontId="9" fillId="0" borderId="0" xfId="0" applyNumberFormat="1" applyFont="1"/>
    <xf numFmtId="0" fontId="7" fillId="10" borderId="0" xfId="0" applyFont="1" applyFill="1"/>
    <xf numFmtId="0" fontId="7" fillId="8" borderId="0" xfId="0" applyFont="1" applyFill="1"/>
    <xf numFmtId="43" fontId="0" fillId="0" borderId="0" xfId="0" applyNumberFormat="1"/>
    <xf numFmtId="0" fontId="9" fillId="0" borderId="0" xfId="0" applyFont="1"/>
    <xf numFmtId="0" fontId="0" fillId="9" borderId="3" xfId="0" applyFill="1" applyBorder="1"/>
    <xf numFmtId="43" fontId="0" fillId="9" borderId="3" xfId="1" applyFont="1" applyFill="1" applyBorder="1"/>
    <xf numFmtId="0" fontId="0" fillId="11" borderId="3" xfId="0" applyFill="1" applyBorder="1"/>
    <xf numFmtId="43" fontId="0" fillId="11" borderId="3" xfId="1" applyFont="1" applyFill="1" applyBorder="1"/>
    <xf numFmtId="0" fontId="0" fillId="9" borderId="0" xfId="0" applyFill="1" applyAlignment="1">
      <alignment horizontal="center"/>
    </xf>
    <xf numFmtId="0" fontId="9" fillId="0" borderId="3" xfId="0" applyFont="1" applyBorder="1" applyAlignment="1">
      <alignment horizontal="center"/>
    </xf>
    <xf numFmtId="16" fontId="0" fillId="0" borderId="3" xfId="0" applyNumberFormat="1" applyBorder="1"/>
    <xf numFmtId="43" fontId="9" fillId="7" borderId="3" xfId="1" applyFont="1" applyFill="1" applyBorder="1"/>
    <xf numFmtId="43" fontId="0" fillId="7" borderId="3" xfId="1" applyFont="1" applyFill="1" applyBorder="1"/>
    <xf numFmtId="43" fontId="9" fillId="9" borderId="3" xfId="1" applyFont="1" applyFill="1" applyBorder="1"/>
    <xf numFmtId="14" fontId="0" fillId="0" borderId="3" xfId="0" applyNumberFormat="1" applyBorder="1"/>
  </cellXfs>
  <cellStyles count="2">
    <cellStyle name="Normal" xfId="0" builtinId="0"/>
    <cellStyle name="Vírgula" xfId="1" builtinId="3"/>
  </cellStyles>
  <dxfs count="2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Faturamento por Canal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Financeiro!$B$3</c:f>
              <c:strCache>
                <c:ptCount val="1"/>
                <c:pt idx="0">
                  <c:v>Faturamento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Financeiro!$A$4:$A$9</c:f>
              <c:strCache>
                <c:ptCount val="6"/>
                <c:pt idx="0">
                  <c:v>Instagram</c:v>
                </c:pt>
                <c:pt idx="1">
                  <c:v>WhatsApp</c:v>
                </c:pt>
                <c:pt idx="2">
                  <c:v>Site</c:v>
                </c:pt>
                <c:pt idx="3">
                  <c:v>Feira</c:v>
                </c:pt>
                <c:pt idx="4">
                  <c:v>Loja</c:v>
                </c:pt>
                <c:pt idx="5">
                  <c:v>Outro</c:v>
                </c:pt>
              </c:strCache>
            </c:strRef>
          </c:cat>
          <c:val>
            <c:numRef>
              <c:f>Financeiro!$B$4:$B$9</c:f>
              <c:numCache>
                <c:formatCode>\R\$\ #,##0.00;[Red]\-\R\$\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2052.6999999999998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A-477F-BABA-4710A2EC1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Canal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;[Red]\-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Participação por Canal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Financeiro!$B$3</c:f>
              <c:strCache>
                <c:ptCount val="1"/>
                <c:pt idx="0">
                  <c:v>Faturamento (R$)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Financeiro!$A$4:$A$9</c:f>
              <c:strCache>
                <c:ptCount val="6"/>
                <c:pt idx="0">
                  <c:v>Instagram</c:v>
                </c:pt>
                <c:pt idx="1">
                  <c:v>WhatsApp</c:v>
                </c:pt>
                <c:pt idx="2">
                  <c:v>Site</c:v>
                </c:pt>
                <c:pt idx="3">
                  <c:v>Feira</c:v>
                </c:pt>
                <c:pt idx="4">
                  <c:v>Loja</c:v>
                </c:pt>
                <c:pt idx="5">
                  <c:v>Outro</c:v>
                </c:pt>
              </c:strCache>
            </c:strRef>
          </c:cat>
          <c:val>
            <c:numRef>
              <c:f>Financeiro!$B$4:$B$9</c:f>
              <c:numCache>
                <c:formatCode>\R\$\ #,##0.00;[Red]\-\R\$\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2052.6999999999998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0-4E38-99AA-773E3514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14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28" customWidth="1"/>
    <col min="2" max="2" width="20" customWidth="1"/>
    <col min="3" max="3" width="14" customWidth="1"/>
    <col min="4" max="6" width="12" customWidth="1"/>
    <col min="7" max="7" width="13" customWidth="1"/>
    <col min="8" max="9" width="16" customWidth="1"/>
    <col min="10" max="11" width="17" customWidth="1"/>
    <col min="12" max="12" width="14" customWidth="1"/>
    <col min="13" max="13" width="12" customWidth="1"/>
  </cols>
  <sheetData>
    <row r="1" spans="1:13" ht="19.5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3" ht="30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140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76</v>
      </c>
      <c r="L3" s="1" t="s">
        <v>10</v>
      </c>
      <c r="M3" s="1" t="s">
        <v>11</v>
      </c>
    </row>
    <row r="4" spans="1:13" x14ac:dyDescent="0.25">
      <c r="A4" s="3" t="s">
        <v>64</v>
      </c>
      <c r="B4" s="3" t="s">
        <v>12</v>
      </c>
      <c r="C4" s="3">
        <v>174</v>
      </c>
      <c r="D4" s="3">
        <f>SUMIFS('Vendas diárias'!$D:$D,'Vendas diárias'!$B:$B,$A4,'Vendas diárias'!$C:$C,"Entrada")</f>
        <v>0</v>
      </c>
      <c r="E4" s="3">
        <v>3</v>
      </c>
      <c r="F4" s="3">
        <v>0</v>
      </c>
      <c r="G4" s="3">
        <f>SUM(C4+D4-E4-F4)</f>
        <v>171</v>
      </c>
      <c r="H4" s="4">
        <v>159.9</v>
      </c>
      <c r="I4" s="4">
        <v>63.64</v>
      </c>
      <c r="J4" s="4">
        <f t="shared" ref="J4:J15" si="0">H4-I4</f>
        <v>96.26</v>
      </c>
      <c r="K4" s="4">
        <f>SUM(G4*H4)</f>
        <v>27342.9</v>
      </c>
      <c r="L4" s="3">
        <v>5</v>
      </c>
      <c r="M4" s="3" t="str">
        <f t="shared" ref="M4:M15" si="1">IF(G4&lt;=L4,"REPOR","OK")</f>
        <v>OK</v>
      </c>
    </row>
    <row r="5" spans="1:13" x14ac:dyDescent="0.25">
      <c r="A5" s="6" t="s">
        <v>65</v>
      </c>
      <c r="B5" s="6" t="s">
        <v>12</v>
      </c>
      <c r="C5" s="6">
        <v>98</v>
      </c>
      <c r="D5" s="6">
        <f>SUMIFS('Vendas diárias'!$D:$D,'Vendas diárias'!$B:$B,$A5,'Vendas diárias'!$C:$C,"Entrada")</f>
        <v>0</v>
      </c>
      <c r="E5" s="6">
        <f>SUMIFS('Vendas diárias'!$D:$D,'Vendas diárias'!$B:$B,$A5,'Vendas diárias'!$C:$C,"Venda")</f>
        <v>1</v>
      </c>
      <c r="F5" s="6"/>
      <c r="G5" s="55">
        <f t="shared" ref="G5:G15" si="2">SUM(C5+D5-E5-F5)</f>
        <v>97</v>
      </c>
      <c r="H5" s="7">
        <v>159.9</v>
      </c>
      <c r="I5" s="7">
        <v>63.64</v>
      </c>
      <c r="J5" s="7">
        <f t="shared" si="0"/>
        <v>96.26</v>
      </c>
      <c r="K5" s="7">
        <f>SUM(H5*G5)</f>
        <v>15510.300000000001</v>
      </c>
      <c r="L5" s="6">
        <v>6</v>
      </c>
      <c r="M5" s="6" t="str">
        <f t="shared" si="1"/>
        <v>OK</v>
      </c>
    </row>
    <row r="6" spans="1:13" x14ac:dyDescent="0.25">
      <c r="A6" s="3" t="s">
        <v>66</v>
      </c>
      <c r="B6" s="3" t="s">
        <v>15</v>
      </c>
      <c r="C6" s="3">
        <v>168</v>
      </c>
      <c r="D6" s="3">
        <f>SUMIFS('Vendas diárias'!$D:$D,'Vendas diárias'!$B:$B,$A6,'Vendas diárias'!$C:$C,"Entrada")</f>
        <v>0</v>
      </c>
      <c r="E6" s="3">
        <v>3</v>
      </c>
      <c r="F6" s="3"/>
      <c r="G6" s="3">
        <f t="shared" si="2"/>
        <v>165</v>
      </c>
      <c r="H6" s="4">
        <v>129.9</v>
      </c>
      <c r="I6" s="4">
        <v>47.73</v>
      </c>
      <c r="J6" s="4">
        <f t="shared" si="0"/>
        <v>82.170000000000016</v>
      </c>
      <c r="K6" s="4">
        <f>SUM(G6*H6)</f>
        <v>21433.5</v>
      </c>
      <c r="L6" s="3">
        <v>8</v>
      </c>
      <c r="M6" s="3" t="str">
        <f t="shared" si="1"/>
        <v>OK</v>
      </c>
    </row>
    <row r="7" spans="1:13" x14ac:dyDescent="0.25">
      <c r="A7" s="6" t="s">
        <v>67</v>
      </c>
      <c r="B7" s="6" t="s">
        <v>15</v>
      </c>
      <c r="C7" s="6">
        <v>187</v>
      </c>
      <c r="D7" s="6">
        <f>SUMIFS('Vendas diárias'!$D:$D,'Vendas diárias'!$B:$B,$A7,'Vendas diárias'!$C:$C,"Entrada")</f>
        <v>0</v>
      </c>
      <c r="E7" s="6">
        <f>SUMIFS('Vendas diárias'!$D:$D,'Vendas diárias'!$B:$B,$A7,'Vendas diárias'!$C:$C,"Venda")</f>
        <v>0</v>
      </c>
      <c r="F7" s="6"/>
      <c r="G7" s="55">
        <f t="shared" si="2"/>
        <v>187</v>
      </c>
      <c r="H7" s="7">
        <v>129.9</v>
      </c>
      <c r="I7" s="7">
        <v>47.73</v>
      </c>
      <c r="J7" s="7">
        <f t="shared" si="0"/>
        <v>82.170000000000016</v>
      </c>
      <c r="K7" s="7">
        <f>SUM(H7*G7)</f>
        <v>24291.3</v>
      </c>
      <c r="L7" s="6">
        <v>5</v>
      </c>
      <c r="M7" s="6" t="str">
        <f t="shared" si="1"/>
        <v>OK</v>
      </c>
    </row>
    <row r="8" spans="1:13" x14ac:dyDescent="0.25">
      <c r="A8" s="3" t="s">
        <v>68</v>
      </c>
      <c r="B8" s="3" t="s">
        <v>13</v>
      </c>
      <c r="C8" s="3">
        <v>38</v>
      </c>
      <c r="D8" s="3">
        <f>SUMIFS('Vendas diárias'!$D:$D,'Vendas diárias'!$B:$B,$A8,'Vendas diárias'!$C:$C,"Entrada")</f>
        <v>0</v>
      </c>
      <c r="E8" s="3">
        <v>4</v>
      </c>
      <c r="F8" s="3">
        <v>1</v>
      </c>
      <c r="G8" s="3">
        <f t="shared" si="2"/>
        <v>33</v>
      </c>
      <c r="H8" s="4">
        <v>55.5</v>
      </c>
      <c r="I8" s="4">
        <v>21.99</v>
      </c>
      <c r="J8" s="4">
        <f t="shared" si="0"/>
        <v>33.510000000000005</v>
      </c>
      <c r="K8" s="4">
        <f>SUM(G8*H8)</f>
        <v>1831.5</v>
      </c>
      <c r="L8" s="3">
        <v>5</v>
      </c>
      <c r="M8" s="3" t="str">
        <f t="shared" si="1"/>
        <v>OK</v>
      </c>
    </row>
    <row r="9" spans="1:13" x14ac:dyDescent="0.25">
      <c r="A9" s="6" t="s">
        <v>69</v>
      </c>
      <c r="B9" s="6" t="s">
        <v>13</v>
      </c>
      <c r="C9" s="6">
        <v>21</v>
      </c>
      <c r="D9" s="6">
        <f>SUMIFS('Vendas diárias'!$D:$D,'Vendas diárias'!$B:$B,$A9,'Vendas diárias'!$C:$C,"Entrada")</f>
        <v>0</v>
      </c>
      <c r="E9" s="6">
        <v>4</v>
      </c>
      <c r="F9" s="6">
        <v>1</v>
      </c>
      <c r="G9" s="55">
        <f t="shared" si="2"/>
        <v>16</v>
      </c>
      <c r="H9" s="7">
        <v>55.5</v>
      </c>
      <c r="I9" s="7">
        <v>21.99</v>
      </c>
      <c r="J9" s="7">
        <f t="shared" si="0"/>
        <v>33.510000000000005</v>
      </c>
      <c r="K9" s="7">
        <f>SUM(H9*G9)</f>
        <v>888</v>
      </c>
      <c r="L9" s="6">
        <v>5</v>
      </c>
      <c r="M9" s="6" t="str">
        <f t="shared" si="1"/>
        <v>OK</v>
      </c>
    </row>
    <row r="10" spans="1:13" x14ac:dyDescent="0.25">
      <c r="A10" s="3" t="s">
        <v>70</v>
      </c>
      <c r="B10" s="3" t="s">
        <v>14</v>
      </c>
      <c r="C10" s="3">
        <v>58</v>
      </c>
      <c r="D10" s="3">
        <f>SUMIFS('Vendas diárias'!$D:$D,'Vendas diárias'!$B:$B,$A10,'Vendas diárias'!$C:$C,"Entrada")</f>
        <v>0</v>
      </c>
      <c r="E10" s="3">
        <v>8</v>
      </c>
      <c r="F10" s="3">
        <v>1</v>
      </c>
      <c r="G10" s="3">
        <f t="shared" si="2"/>
        <v>49</v>
      </c>
      <c r="H10" s="4">
        <v>79</v>
      </c>
      <c r="I10" s="4">
        <v>28.68</v>
      </c>
      <c r="J10" s="4">
        <f t="shared" si="0"/>
        <v>50.32</v>
      </c>
      <c r="K10" s="4">
        <f>SUM(G10*H10)</f>
        <v>3871</v>
      </c>
      <c r="L10" s="3">
        <v>6</v>
      </c>
      <c r="M10" s="3" t="str">
        <f t="shared" si="1"/>
        <v>OK</v>
      </c>
    </row>
    <row r="11" spans="1:13" x14ac:dyDescent="0.25">
      <c r="A11" s="6" t="s">
        <v>71</v>
      </c>
      <c r="B11" s="6" t="s">
        <v>14</v>
      </c>
      <c r="C11" s="6">
        <v>56</v>
      </c>
      <c r="D11" s="6">
        <f>SUMIFS('Vendas diárias'!$D:$D,'Vendas diárias'!$B:$B,$A11,'Vendas diárias'!$C:$C,"Entrada")</f>
        <v>0</v>
      </c>
      <c r="E11" s="6">
        <v>10</v>
      </c>
      <c r="F11" s="6">
        <v>1</v>
      </c>
      <c r="G11" s="55">
        <f t="shared" si="2"/>
        <v>45</v>
      </c>
      <c r="H11" s="7">
        <v>79</v>
      </c>
      <c r="I11" s="7">
        <v>28.68</v>
      </c>
      <c r="J11" s="7">
        <f t="shared" si="0"/>
        <v>50.32</v>
      </c>
      <c r="K11" s="7">
        <f>SUM(H11*G11)</f>
        <v>3555</v>
      </c>
      <c r="L11" s="6">
        <v>6</v>
      </c>
      <c r="M11" s="6" t="str">
        <f t="shared" si="1"/>
        <v>OK</v>
      </c>
    </row>
    <row r="12" spans="1:13" x14ac:dyDescent="0.25">
      <c r="A12" s="3" t="s">
        <v>72</v>
      </c>
      <c r="B12" s="3" t="s">
        <v>15</v>
      </c>
      <c r="C12" s="3">
        <v>3</v>
      </c>
      <c r="D12" s="3">
        <f>SUMIFS('Vendas diárias'!$D:$D,'Vendas diárias'!$B:$B,$A12,'Vendas diárias'!$C:$C,"Entrada")</f>
        <v>0</v>
      </c>
      <c r="E12" s="3">
        <f>SUMIFS('Vendas diárias'!$D:$D,'Vendas diárias'!$B:$B,$A12,'Vendas diárias'!$C:$C,"Venda")</f>
        <v>0</v>
      </c>
      <c r="F12" s="3">
        <v>1</v>
      </c>
      <c r="G12" s="3">
        <f t="shared" si="2"/>
        <v>2</v>
      </c>
      <c r="H12" s="4">
        <v>46</v>
      </c>
      <c r="I12" s="4">
        <v>33.880000000000003</v>
      </c>
      <c r="J12" s="4">
        <f t="shared" si="0"/>
        <v>12.119999999999997</v>
      </c>
      <c r="K12" s="4">
        <f>SUM(G12*H12)</f>
        <v>92</v>
      </c>
      <c r="L12" s="3">
        <v>6</v>
      </c>
      <c r="M12" s="3" t="str">
        <f t="shared" si="1"/>
        <v>REPOR</v>
      </c>
    </row>
    <row r="13" spans="1:13" x14ac:dyDescent="0.25">
      <c r="A13" s="6" t="s">
        <v>73</v>
      </c>
      <c r="B13" s="6" t="s">
        <v>15</v>
      </c>
      <c r="C13" s="6">
        <v>2</v>
      </c>
      <c r="D13" s="6">
        <f>SUMIFS('Vendas diárias'!$D:$D,'Vendas diárias'!$B:$B,$A13,'Vendas diárias'!$C:$C,"Entrada")</f>
        <v>0</v>
      </c>
      <c r="E13" s="6">
        <f>SUMIFS('Vendas diárias'!$D:$D,'Vendas diárias'!$B:$B,$A13,'Vendas diárias'!$C:$C,"Venda")</f>
        <v>0</v>
      </c>
      <c r="F13" s="6"/>
      <c r="G13" s="55">
        <f t="shared" si="2"/>
        <v>2</v>
      </c>
      <c r="H13" s="7">
        <v>46</v>
      </c>
      <c r="I13" s="7">
        <v>33.880000000000003</v>
      </c>
      <c r="J13" s="7">
        <f t="shared" si="0"/>
        <v>12.119999999999997</v>
      </c>
      <c r="K13" s="7">
        <f>SUM(H13*G13)</f>
        <v>92</v>
      </c>
      <c r="L13" s="6">
        <v>5</v>
      </c>
      <c r="M13" s="6" t="str">
        <f t="shared" si="1"/>
        <v>REPOR</v>
      </c>
    </row>
    <row r="14" spans="1:13" x14ac:dyDescent="0.25">
      <c r="A14" s="3" t="s">
        <v>74</v>
      </c>
      <c r="B14" s="3" t="s">
        <v>12</v>
      </c>
      <c r="C14" s="3">
        <v>10</v>
      </c>
      <c r="D14" s="3">
        <v>0</v>
      </c>
      <c r="E14" s="3">
        <v>2</v>
      </c>
      <c r="F14" s="3"/>
      <c r="G14" s="3">
        <f t="shared" si="2"/>
        <v>8</v>
      </c>
      <c r="H14" s="4">
        <v>86</v>
      </c>
      <c r="I14" s="4">
        <v>23.55</v>
      </c>
      <c r="J14" s="4">
        <f t="shared" si="0"/>
        <v>62.45</v>
      </c>
      <c r="K14" s="4">
        <f>SUM(G14*H14)</f>
        <v>688</v>
      </c>
      <c r="L14" s="3">
        <v>6</v>
      </c>
      <c r="M14" s="3" t="str">
        <f t="shared" si="1"/>
        <v>OK</v>
      </c>
    </row>
    <row r="15" spans="1:13" ht="15.75" thickBot="1" x14ac:dyDescent="0.3">
      <c r="A15" s="6" t="s">
        <v>75</v>
      </c>
      <c r="B15" s="6" t="s">
        <v>12</v>
      </c>
      <c r="C15" s="6">
        <v>3</v>
      </c>
      <c r="D15" s="6">
        <v>0</v>
      </c>
      <c r="E15" s="6">
        <v>2</v>
      </c>
      <c r="F15" s="6">
        <v>1</v>
      </c>
      <c r="G15" s="55">
        <f t="shared" si="2"/>
        <v>0</v>
      </c>
      <c r="H15" s="7">
        <v>86</v>
      </c>
      <c r="I15" s="7">
        <v>23.55</v>
      </c>
      <c r="J15" s="7">
        <f t="shared" si="0"/>
        <v>62.45</v>
      </c>
      <c r="K15" s="7">
        <f>SUM(H15*G15)</f>
        <v>0</v>
      </c>
      <c r="L15" s="6">
        <v>5</v>
      </c>
      <c r="M15" s="6" t="str">
        <f t="shared" si="1"/>
        <v>REPOR</v>
      </c>
    </row>
    <row r="16" spans="1:13" x14ac:dyDescent="0.25">
      <c r="A16" s="8" t="s">
        <v>16</v>
      </c>
      <c r="B16" s="8"/>
      <c r="C16" s="9">
        <f>SUM(C4:C15)</f>
        <v>818</v>
      </c>
      <c r="D16" s="9">
        <f>SUM(D4:D13)</f>
        <v>0</v>
      </c>
      <c r="E16" s="9">
        <f>SUM(E4:E15)</f>
        <v>37</v>
      </c>
      <c r="F16" s="9"/>
      <c r="G16" s="9">
        <f>SUM(G4:G15)</f>
        <v>775</v>
      </c>
      <c r="H16" s="10"/>
      <c r="I16" s="10"/>
      <c r="J16" s="10"/>
      <c r="K16" s="10">
        <f>SUM(K4:K15)</f>
        <v>99595.5</v>
      </c>
      <c r="L16" s="9"/>
      <c r="M16" s="9"/>
    </row>
  </sheetData>
  <mergeCells count="1">
    <mergeCell ref="A1:M1"/>
  </mergeCells>
  <conditionalFormatting sqref="M4:M15">
    <cfRule type="expression" dxfId="1" priority="1">
      <formula>$M4="REPOR"</formula>
    </cfRule>
    <cfRule type="expression" dxfId="0" priority="2">
      <formula>$M4="OK"</formula>
    </cfRule>
  </conditionalFormatting>
  <pageMargins left="0.75" right="0.75" top="1" bottom="1" header="0.5" footer="0.5"/>
  <ignoredErrors>
    <ignoredError sqref="K5:K14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"/>
  <sheetViews>
    <sheetView showGridLines="0" workbookViewId="0">
      <pane ySplit="3" topLeftCell="A4" activePane="bottomLeft" state="frozen"/>
      <selection pane="bottomLeft" activeCell="H7" sqref="H7"/>
    </sheetView>
  </sheetViews>
  <sheetFormatPr defaultRowHeight="15" x14ac:dyDescent="0.25"/>
  <cols>
    <col min="1" max="1" width="13" customWidth="1"/>
    <col min="2" max="2" width="28" customWidth="1"/>
    <col min="3" max="4" width="12" customWidth="1"/>
    <col min="5" max="5" width="16" customWidth="1"/>
    <col min="6" max="8" width="15" customWidth="1"/>
    <col min="9" max="9" width="16" customWidth="1"/>
    <col min="10" max="10" width="22" customWidth="1"/>
    <col min="12" max="12" width="18" customWidth="1"/>
    <col min="13" max="13" width="15" customWidth="1"/>
  </cols>
  <sheetData>
    <row r="1" spans="1:13" ht="19.5" x14ac:dyDescent="0.25">
      <c r="A1" s="28" t="s">
        <v>77</v>
      </c>
      <c r="B1" s="29"/>
      <c r="C1" s="29"/>
      <c r="D1" s="29"/>
      <c r="E1" s="29"/>
      <c r="F1" s="29"/>
      <c r="G1" s="29"/>
      <c r="H1" s="29"/>
      <c r="I1" s="29"/>
      <c r="J1" s="29"/>
    </row>
    <row r="3" spans="1:13" ht="30" x14ac:dyDescent="0.25">
      <c r="A3" s="1" t="s">
        <v>17</v>
      </c>
      <c r="B3" s="1" t="s">
        <v>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L3" s="11" t="s">
        <v>26</v>
      </c>
    </row>
    <row r="4" spans="1:13" x14ac:dyDescent="0.25">
      <c r="A4" s="2" t="s">
        <v>27</v>
      </c>
      <c r="B4" s="3" t="s">
        <v>64</v>
      </c>
      <c r="C4" s="2" t="s">
        <v>28</v>
      </c>
      <c r="D4" s="3">
        <v>0</v>
      </c>
      <c r="E4" s="4">
        <v>159.9</v>
      </c>
      <c r="F4" s="7">
        <v>0</v>
      </c>
      <c r="G4" s="4">
        <f>IF(OR(B4="",D4=""),"",IFERROR(D4*VLOOKUP(B4,Produtos!$A$4:$I$13,9,FALSE),""))</f>
        <v>0</v>
      </c>
      <c r="H4" s="4">
        <f t="shared" ref="H4:H33" si="0">IF(C4="Venda",IF(OR(F4="",G4=""),"",F4-G4),"")</f>
        <v>0</v>
      </c>
      <c r="I4" s="2" t="s">
        <v>47</v>
      </c>
      <c r="J4" s="2"/>
      <c r="L4" s="12" t="s">
        <v>30</v>
      </c>
      <c r="M4" s="13">
        <f>SUMIFS(F:F,C:C,"Venda")</f>
        <v>2052.6999999999998</v>
      </c>
    </row>
    <row r="5" spans="1:13" x14ac:dyDescent="0.25">
      <c r="A5" s="5" t="s">
        <v>27</v>
      </c>
      <c r="B5" s="6" t="s">
        <v>65</v>
      </c>
      <c r="C5" s="5" t="s">
        <v>28</v>
      </c>
      <c r="D5" s="6">
        <v>1</v>
      </c>
      <c r="E5" s="7">
        <v>159.9</v>
      </c>
      <c r="F5" s="7">
        <v>140</v>
      </c>
      <c r="G5" s="7">
        <f>IF(OR(B5="",D5=""),"",IFERROR(D5*VLOOKUP(B5,Produtos!$A$4:$I$13,9,FALSE),""))</f>
        <v>63.64</v>
      </c>
      <c r="H5" s="7">
        <f t="shared" si="0"/>
        <v>76.36</v>
      </c>
      <c r="I5" s="5" t="s">
        <v>47</v>
      </c>
      <c r="J5" s="5"/>
      <c r="L5" s="12" t="s">
        <v>32</v>
      </c>
      <c r="M5" s="13">
        <f>SUM(H:H)</f>
        <v>993.99</v>
      </c>
    </row>
    <row r="6" spans="1:13" x14ac:dyDescent="0.25">
      <c r="A6" s="2" t="s">
        <v>27</v>
      </c>
      <c r="B6" s="3" t="s">
        <v>66</v>
      </c>
      <c r="C6" s="2" t="s">
        <v>28</v>
      </c>
      <c r="D6" s="3">
        <v>0</v>
      </c>
      <c r="E6" s="4">
        <v>129.9</v>
      </c>
      <c r="F6" s="4">
        <f t="shared" ref="F6:F33" si="1">IF(OR(D6="",E6=""),"",D6*E6)</f>
        <v>0</v>
      </c>
      <c r="G6" s="4">
        <f>IF(OR(B6="",D6=""),"",IFERROR(D6*VLOOKUP(B6,Produtos!$A$4:$I$13,9,FALSE),""))</f>
        <v>0</v>
      </c>
      <c r="H6" s="4">
        <f t="shared" si="0"/>
        <v>0</v>
      </c>
      <c r="I6" s="2" t="s">
        <v>47</v>
      </c>
      <c r="J6" s="2"/>
      <c r="L6" s="12" t="s">
        <v>34</v>
      </c>
      <c r="M6" s="14">
        <f>SUMIFS(D:D,C:C,"Venda")</f>
        <v>24</v>
      </c>
    </row>
    <row r="7" spans="1:13" x14ac:dyDescent="0.25">
      <c r="A7" s="5" t="s">
        <v>27</v>
      </c>
      <c r="B7" s="6" t="s">
        <v>67</v>
      </c>
      <c r="C7" s="5" t="s">
        <v>28</v>
      </c>
      <c r="D7" s="6">
        <v>0</v>
      </c>
      <c r="E7" s="7">
        <v>129.9</v>
      </c>
      <c r="F7" s="7">
        <f t="shared" si="1"/>
        <v>0</v>
      </c>
      <c r="G7" s="7">
        <f>IF(OR(B7="",D7=""),"",IFERROR(D7*VLOOKUP(B7,Produtos!$A$4:$I$13,9,FALSE),""))</f>
        <v>0</v>
      </c>
      <c r="H7" s="7">
        <f t="shared" si="0"/>
        <v>0</v>
      </c>
      <c r="I7" s="5" t="s">
        <v>47</v>
      </c>
      <c r="J7" s="5"/>
      <c r="L7" s="12" t="s">
        <v>4</v>
      </c>
      <c r="M7" s="14">
        <f>SUMIFS(D:D,C:C,"Entrada")</f>
        <v>0</v>
      </c>
    </row>
    <row r="8" spans="1:13" x14ac:dyDescent="0.25">
      <c r="A8" s="2" t="s">
        <v>27</v>
      </c>
      <c r="B8" s="3" t="s">
        <v>68</v>
      </c>
      <c r="C8" s="2" t="s">
        <v>28</v>
      </c>
      <c r="D8" s="3">
        <v>1</v>
      </c>
      <c r="E8" s="4">
        <v>55.5</v>
      </c>
      <c r="F8" s="4">
        <v>50</v>
      </c>
      <c r="G8" s="4">
        <f>IF(OR(B8="",D8=""),"",IFERROR(D8*VLOOKUP(B8,Produtos!$A$4:$I$13,9,FALSE),""))</f>
        <v>21.99</v>
      </c>
      <c r="H8" s="4">
        <f t="shared" si="0"/>
        <v>28.01</v>
      </c>
      <c r="I8" s="2" t="s">
        <v>47</v>
      </c>
      <c r="J8" s="2"/>
    </row>
    <row r="9" spans="1:13" x14ac:dyDescent="0.25">
      <c r="A9" s="5" t="s">
        <v>27</v>
      </c>
      <c r="B9" s="6" t="s">
        <v>69</v>
      </c>
      <c r="C9" s="5" t="s">
        <v>28</v>
      </c>
      <c r="D9" s="6">
        <v>1</v>
      </c>
      <c r="E9" s="7">
        <v>55.5</v>
      </c>
      <c r="F9" s="7">
        <v>50</v>
      </c>
      <c r="G9" s="7">
        <f>IF(OR(B9="",D9=""),"",IFERROR(D9*VLOOKUP(B9,Produtos!$A$4:$I$13,9,FALSE),""))</f>
        <v>21.99</v>
      </c>
      <c r="H9" s="7">
        <f t="shared" si="0"/>
        <v>28.01</v>
      </c>
      <c r="I9" s="5" t="s">
        <v>47</v>
      </c>
      <c r="J9" s="5"/>
    </row>
    <row r="10" spans="1:13" x14ac:dyDescent="0.25">
      <c r="A10" s="2" t="s">
        <v>27</v>
      </c>
      <c r="B10" s="3" t="s">
        <v>70</v>
      </c>
      <c r="C10" s="2" t="s">
        <v>28</v>
      </c>
      <c r="D10" s="3">
        <v>0</v>
      </c>
      <c r="E10" s="4">
        <v>79</v>
      </c>
      <c r="F10" s="4">
        <f t="shared" si="1"/>
        <v>0</v>
      </c>
      <c r="G10" s="4">
        <f>IF(OR(B10="",D10=""),"",IFERROR(D10*VLOOKUP(B10,Produtos!$A$4:$I$13,9,FALSE),""))</f>
        <v>0</v>
      </c>
      <c r="H10" s="4">
        <f t="shared" si="0"/>
        <v>0</v>
      </c>
      <c r="I10" s="2" t="s">
        <v>47</v>
      </c>
      <c r="J10" s="2"/>
    </row>
    <row r="11" spans="1:13" x14ac:dyDescent="0.25">
      <c r="A11" s="5" t="s">
        <v>27</v>
      </c>
      <c r="B11" s="6" t="s">
        <v>71</v>
      </c>
      <c r="C11" s="5" t="s">
        <v>28</v>
      </c>
      <c r="D11" s="6">
        <v>0</v>
      </c>
      <c r="E11" s="7">
        <v>79</v>
      </c>
      <c r="F11" s="7">
        <f t="shared" si="1"/>
        <v>0</v>
      </c>
      <c r="G11" s="7">
        <f>IF(OR(B11="",D11=""),"",IFERROR(D11*VLOOKUP(B11,Produtos!$A$4:$I$13,9,FALSE),""))</f>
        <v>0</v>
      </c>
      <c r="H11" s="7">
        <f t="shared" si="0"/>
        <v>0</v>
      </c>
      <c r="I11" s="5" t="s">
        <v>47</v>
      </c>
      <c r="J11" s="5"/>
    </row>
    <row r="12" spans="1:13" x14ac:dyDescent="0.25">
      <c r="A12" s="2" t="s">
        <v>27</v>
      </c>
      <c r="B12" s="3" t="s">
        <v>72</v>
      </c>
      <c r="C12" s="2" t="s">
        <v>28</v>
      </c>
      <c r="D12" s="3">
        <v>0</v>
      </c>
      <c r="E12" s="4">
        <v>46</v>
      </c>
      <c r="F12" s="4">
        <f t="shared" si="1"/>
        <v>0</v>
      </c>
      <c r="G12" s="4">
        <f>IF(OR(B12="",D12=""),"",IFERROR(D12*VLOOKUP(B12,Produtos!$A$4:$I$13,9,FALSE),""))</f>
        <v>0</v>
      </c>
      <c r="H12" s="4">
        <f t="shared" si="0"/>
        <v>0</v>
      </c>
      <c r="I12" s="2" t="s">
        <v>47</v>
      </c>
      <c r="J12" s="2"/>
    </row>
    <row r="13" spans="1:13" x14ac:dyDescent="0.25">
      <c r="A13" s="5" t="s">
        <v>27</v>
      </c>
      <c r="B13" s="6" t="s">
        <v>73</v>
      </c>
      <c r="C13" s="5" t="s">
        <v>28</v>
      </c>
      <c r="D13" s="6">
        <v>0</v>
      </c>
      <c r="E13" s="7">
        <v>46</v>
      </c>
      <c r="F13" s="7">
        <f t="shared" si="1"/>
        <v>0</v>
      </c>
      <c r="G13" s="7">
        <f>IF(OR(B13="",D13=""),"",IFERROR(D13*VLOOKUP(B13,Produtos!$A$4:$I$13,9,FALSE),""))</f>
        <v>0</v>
      </c>
      <c r="H13" s="7">
        <f t="shared" si="0"/>
        <v>0</v>
      </c>
      <c r="I13" s="5" t="s">
        <v>47</v>
      </c>
      <c r="J13" s="5"/>
    </row>
    <row r="14" spans="1:13" x14ac:dyDescent="0.25">
      <c r="A14" s="2" t="s">
        <v>27</v>
      </c>
      <c r="B14" s="3" t="s">
        <v>74</v>
      </c>
      <c r="C14" s="2" t="s">
        <v>28</v>
      </c>
      <c r="D14" s="3">
        <v>0</v>
      </c>
      <c r="E14" s="4">
        <v>86</v>
      </c>
      <c r="F14" s="4">
        <f t="shared" si="1"/>
        <v>0</v>
      </c>
      <c r="G14" s="4" t="str">
        <f>IF(OR(B14="",D14=""),"",IFERROR(D14*VLOOKUP(B14,Produtos!$A$4:$I$13,9,FALSE),""))</f>
        <v/>
      </c>
      <c r="H14" s="4" t="str">
        <f t="shared" si="0"/>
        <v/>
      </c>
      <c r="I14" s="2" t="s">
        <v>47</v>
      </c>
      <c r="J14" s="2"/>
    </row>
    <row r="15" spans="1:13" x14ac:dyDescent="0.25">
      <c r="A15" s="5" t="s">
        <v>27</v>
      </c>
      <c r="B15" s="6" t="s">
        <v>75</v>
      </c>
      <c r="C15" s="5" t="s">
        <v>28</v>
      </c>
      <c r="D15" s="6">
        <v>1</v>
      </c>
      <c r="E15" s="7">
        <v>86</v>
      </c>
      <c r="F15" s="7">
        <f t="shared" si="1"/>
        <v>86</v>
      </c>
      <c r="G15" s="7" t="str">
        <f>IF(OR(B15="",D15=""),"",IFERROR(D15*VLOOKUP(B15,Produtos!$A$4:$I$13,9,FALSE),""))</f>
        <v/>
      </c>
      <c r="H15" s="7" t="str">
        <f t="shared" si="0"/>
        <v/>
      </c>
      <c r="I15" s="5" t="s">
        <v>47</v>
      </c>
      <c r="J15" s="5"/>
    </row>
    <row r="16" spans="1:13" x14ac:dyDescent="0.25">
      <c r="A16" s="2"/>
      <c r="B16" s="2"/>
      <c r="C16" s="2"/>
      <c r="D16" s="3"/>
      <c r="E16" s="4" t="str">
        <f>IF(B16="","",IFERROR(VLOOKUP(B16,Produtos!$A$4:$I$13,8,FALSE),""))</f>
        <v/>
      </c>
      <c r="F16" s="4">
        <f>SUM(F5:F15)</f>
        <v>326</v>
      </c>
      <c r="G16" s="4" t="str">
        <f>IF(OR(B16="",D16=""),"",IFERROR(D16*VLOOKUP(B16,Produtos!$A$4:$I$13,9,FALSE),""))</f>
        <v/>
      </c>
      <c r="H16" s="4" t="str">
        <f t="shared" si="0"/>
        <v/>
      </c>
      <c r="I16" s="2"/>
      <c r="J16" s="2"/>
    </row>
    <row r="17" spans="1:10" x14ac:dyDescent="0.25">
      <c r="A17" s="5"/>
      <c r="B17" s="5"/>
      <c r="C17" s="5"/>
      <c r="D17" s="6"/>
      <c r="E17" s="7" t="str">
        <f>IF(B17="","",IFERROR(VLOOKUP(B17,Produtos!$A$4:$I$13,8,FALSE),""))</f>
        <v/>
      </c>
      <c r="F17" s="7" t="str">
        <f t="shared" si="1"/>
        <v/>
      </c>
      <c r="G17" s="7" t="str">
        <f>IF(OR(B17="",D17=""),"",IFERROR(D17*VLOOKUP(B17,Produtos!$A$4:$I$13,9,FALSE),""))</f>
        <v/>
      </c>
      <c r="H17" s="7" t="str">
        <f t="shared" si="0"/>
        <v/>
      </c>
      <c r="I17" s="5"/>
      <c r="J17" s="5"/>
    </row>
    <row r="18" spans="1:10" ht="30.75" thickBot="1" x14ac:dyDescent="0.3">
      <c r="A18" s="1" t="s">
        <v>17</v>
      </c>
      <c r="B18" s="1" t="s">
        <v>1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23</v>
      </c>
      <c r="I18" s="1" t="s">
        <v>24</v>
      </c>
      <c r="J18" s="1" t="s">
        <v>25</v>
      </c>
    </row>
    <row r="19" spans="1:10" x14ac:dyDescent="0.25">
      <c r="A19" s="26">
        <v>46098</v>
      </c>
      <c r="B19" s="3" t="s">
        <v>64</v>
      </c>
      <c r="C19" s="2" t="s">
        <v>28</v>
      </c>
      <c r="D19" s="3">
        <v>0</v>
      </c>
      <c r="E19" s="4">
        <v>159.9</v>
      </c>
      <c r="F19" s="7">
        <v>0</v>
      </c>
      <c r="G19" s="4">
        <f>IF(OR(B19="",D19=""),"",IFERROR(D19*VLOOKUP(B19,Produtos!$A$4:$I$13,9,FALSE),""))</f>
        <v>0</v>
      </c>
      <c r="H19" s="4">
        <f t="shared" ref="H19:H31" si="2">IF(C19="Venda",IF(OR(F19="",G19=""),"",F19-G19),"")</f>
        <v>0</v>
      </c>
      <c r="I19" s="2" t="s">
        <v>47</v>
      </c>
      <c r="J19" s="2"/>
    </row>
    <row r="20" spans="1:10" x14ac:dyDescent="0.25">
      <c r="A20" s="27">
        <v>46098</v>
      </c>
      <c r="B20" s="6" t="s">
        <v>65</v>
      </c>
      <c r="C20" s="5" t="s">
        <v>28</v>
      </c>
      <c r="D20" s="6">
        <v>0</v>
      </c>
      <c r="E20" s="7">
        <v>159.9</v>
      </c>
      <c r="F20" s="7">
        <v>0</v>
      </c>
      <c r="G20" s="7">
        <f>IF(OR(B20="",D20=""),"",IFERROR(D20*VLOOKUP(B20,Produtos!$A$4:$I$13,9,FALSE),""))</f>
        <v>0</v>
      </c>
      <c r="H20" s="7">
        <f t="shared" si="2"/>
        <v>0</v>
      </c>
      <c r="I20" s="5" t="s">
        <v>47</v>
      </c>
      <c r="J20" s="5"/>
    </row>
    <row r="21" spans="1:10" x14ac:dyDescent="0.25">
      <c r="A21" s="26">
        <v>46098</v>
      </c>
      <c r="B21" s="3" t="s">
        <v>66</v>
      </c>
      <c r="C21" s="2" t="s">
        <v>28</v>
      </c>
      <c r="D21" s="3">
        <v>0</v>
      </c>
      <c r="E21" s="4">
        <v>129.9</v>
      </c>
      <c r="F21" s="4">
        <f t="shared" ref="F21:F22" si="3">IF(OR(D21="",E21=""),"",D21*E21)</f>
        <v>0</v>
      </c>
      <c r="G21" s="4">
        <f>IF(OR(B21="",D21=""),"",IFERROR(D21*VLOOKUP(B21,Produtos!$A$4:$I$13,9,FALSE),""))</f>
        <v>0</v>
      </c>
      <c r="H21" s="4">
        <f t="shared" si="2"/>
        <v>0</v>
      </c>
      <c r="I21" s="2" t="s">
        <v>47</v>
      </c>
      <c r="J21" s="2"/>
    </row>
    <row r="22" spans="1:10" x14ac:dyDescent="0.25">
      <c r="A22" s="27">
        <v>46098</v>
      </c>
      <c r="B22" s="6" t="s">
        <v>67</v>
      </c>
      <c r="C22" s="5" t="s">
        <v>28</v>
      </c>
      <c r="D22" s="6">
        <v>0</v>
      </c>
      <c r="E22" s="7">
        <v>129.9</v>
      </c>
      <c r="F22" s="7">
        <f t="shared" si="3"/>
        <v>0</v>
      </c>
      <c r="G22" s="7">
        <f>IF(OR(B22="",D22=""),"",IFERROR(D22*VLOOKUP(B22,Produtos!$A$4:$I$13,9,FALSE),""))</f>
        <v>0</v>
      </c>
      <c r="H22" s="7">
        <f t="shared" si="2"/>
        <v>0</v>
      </c>
      <c r="I22" s="5" t="s">
        <v>47</v>
      </c>
      <c r="J22" s="5"/>
    </row>
    <row r="23" spans="1:10" x14ac:dyDescent="0.25">
      <c r="A23" s="26">
        <v>46098</v>
      </c>
      <c r="B23" s="3" t="s">
        <v>68</v>
      </c>
      <c r="C23" s="2" t="s">
        <v>28</v>
      </c>
      <c r="D23" s="3">
        <v>0</v>
      </c>
      <c r="E23" s="4">
        <v>55.5</v>
      </c>
      <c r="F23" s="4">
        <v>0</v>
      </c>
      <c r="G23" s="4">
        <f>IF(OR(B23="",D23=""),"",IFERROR(D23*VLOOKUP(B23,Produtos!$A$4:$I$13,9,FALSE),""))</f>
        <v>0</v>
      </c>
      <c r="H23" s="4">
        <f t="shared" si="2"/>
        <v>0</v>
      </c>
      <c r="I23" s="2" t="s">
        <v>47</v>
      </c>
      <c r="J23" s="2"/>
    </row>
    <row r="24" spans="1:10" x14ac:dyDescent="0.25">
      <c r="A24" s="27">
        <v>46098</v>
      </c>
      <c r="B24" s="6" t="s">
        <v>69</v>
      </c>
      <c r="C24" s="5" t="s">
        <v>28</v>
      </c>
      <c r="D24" s="6">
        <v>0</v>
      </c>
      <c r="E24" s="7">
        <v>55.5</v>
      </c>
      <c r="F24" s="7">
        <v>0</v>
      </c>
      <c r="G24" s="7">
        <f>IF(OR(B24="",D24=""),"",IFERROR(D24*VLOOKUP(B24,Produtos!$A$4:$I$13,9,FALSE),""))</f>
        <v>0</v>
      </c>
      <c r="H24" s="7">
        <f t="shared" si="2"/>
        <v>0</v>
      </c>
      <c r="I24" s="5" t="s">
        <v>47</v>
      </c>
      <c r="J24" s="5"/>
    </row>
    <row r="25" spans="1:10" x14ac:dyDescent="0.25">
      <c r="A25" s="26">
        <v>46098</v>
      </c>
      <c r="B25" s="3" t="s">
        <v>70</v>
      </c>
      <c r="C25" s="2" t="s">
        <v>28</v>
      </c>
      <c r="D25" s="3">
        <v>0</v>
      </c>
      <c r="E25" s="4">
        <v>79</v>
      </c>
      <c r="F25" s="4">
        <f t="shared" ref="F25:F30" si="4">IF(OR(D25="",E25=""),"",D25*E25)</f>
        <v>0</v>
      </c>
      <c r="G25" s="4">
        <f>IF(OR(B25="",D25=""),"",IFERROR(D25*VLOOKUP(B25,Produtos!$A$4:$I$13,9,FALSE),""))</f>
        <v>0</v>
      </c>
      <c r="H25" s="4">
        <f t="shared" si="2"/>
        <v>0</v>
      </c>
      <c r="I25" s="2" t="s">
        <v>47</v>
      </c>
      <c r="J25" s="2"/>
    </row>
    <row r="26" spans="1:10" x14ac:dyDescent="0.25">
      <c r="A26" s="27">
        <v>46098</v>
      </c>
      <c r="B26" s="6" t="s">
        <v>71</v>
      </c>
      <c r="C26" s="5" t="s">
        <v>28</v>
      </c>
      <c r="D26" s="6">
        <v>0</v>
      </c>
      <c r="E26" s="7">
        <v>79</v>
      </c>
      <c r="F26" s="7">
        <f t="shared" si="4"/>
        <v>0</v>
      </c>
      <c r="G26" s="7">
        <f>IF(OR(B26="",D26=""),"",IFERROR(D26*VLOOKUP(B26,Produtos!$A$4:$I$13,9,FALSE),""))</f>
        <v>0</v>
      </c>
      <c r="H26" s="7">
        <f t="shared" si="2"/>
        <v>0</v>
      </c>
      <c r="I26" s="5" t="s">
        <v>47</v>
      </c>
      <c r="J26" s="5"/>
    </row>
    <row r="27" spans="1:10" x14ac:dyDescent="0.25">
      <c r="A27" s="26">
        <v>46098</v>
      </c>
      <c r="B27" s="3" t="s">
        <v>72</v>
      </c>
      <c r="C27" s="2" t="s">
        <v>28</v>
      </c>
      <c r="D27" s="3">
        <v>0</v>
      </c>
      <c r="E27" s="4">
        <v>46</v>
      </c>
      <c r="F27" s="4">
        <f t="shared" si="4"/>
        <v>0</v>
      </c>
      <c r="G27" s="4">
        <f>IF(OR(B27="",D27=""),"",IFERROR(D27*VLOOKUP(B27,Produtos!$A$4:$I$13,9,FALSE),""))</f>
        <v>0</v>
      </c>
      <c r="H27" s="4">
        <f t="shared" si="2"/>
        <v>0</v>
      </c>
      <c r="I27" s="2" t="s">
        <v>47</v>
      </c>
      <c r="J27" s="2"/>
    </row>
    <row r="28" spans="1:10" x14ac:dyDescent="0.25">
      <c r="A28" s="27">
        <v>46098</v>
      </c>
      <c r="B28" s="6" t="s">
        <v>73</v>
      </c>
      <c r="C28" s="5" t="s">
        <v>28</v>
      </c>
      <c r="D28" s="6">
        <v>0</v>
      </c>
      <c r="E28" s="7">
        <v>46</v>
      </c>
      <c r="F28" s="7">
        <f t="shared" si="4"/>
        <v>0</v>
      </c>
      <c r="G28" s="7">
        <f>IF(OR(B28="",D28=""),"",IFERROR(D28*VLOOKUP(B28,Produtos!$A$4:$I$13,9,FALSE),""))</f>
        <v>0</v>
      </c>
      <c r="H28" s="7">
        <f t="shared" si="2"/>
        <v>0</v>
      </c>
      <c r="I28" s="5" t="s">
        <v>47</v>
      </c>
      <c r="J28" s="5"/>
    </row>
    <row r="29" spans="1:10" x14ac:dyDescent="0.25">
      <c r="A29" s="26">
        <v>46098</v>
      </c>
      <c r="B29" s="3" t="s">
        <v>74</v>
      </c>
      <c r="C29" s="2" t="s">
        <v>28</v>
      </c>
      <c r="D29" s="3">
        <v>1</v>
      </c>
      <c r="E29" s="4">
        <v>86</v>
      </c>
      <c r="F29" s="4">
        <f t="shared" si="4"/>
        <v>86</v>
      </c>
      <c r="G29" s="4" t="str">
        <f>IF(OR(B29="",D29=""),"",IFERROR(D29*VLOOKUP(B29,Produtos!$A$4:$I$13,9,FALSE),""))</f>
        <v/>
      </c>
      <c r="H29" s="4" t="str">
        <f t="shared" si="2"/>
        <v/>
      </c>
      <c r="I29" s="2" t="s">
        <v>47</v>
      </c>
      <c r="J29" s="2"/>
    </row>
    <row r="30" spans="1:10" x14ac:dyDescent="0.25">
      <c r="A30" s="27">
        <v>46098</v>
      </c>
      <c r="B30" s="6" t="s">
        <v>75</v>
      </c>
      <c r="C30" s="5" t="s">
        <v>28</v>
      </c>
      <c r="D30" s="6">
        <v>0</v>
      </c>
      <c r="E30" s="7">
        <v>86</v>
      </c>
      <c r="F30" s="7">
        <f t="shared" si="4"/>
        <v>0</v>
      </c>
      <c r="G30" s="7" t="str">
        <f>IF(OR(B30="",D30=""),"",IFERROR(D30*VLOOKUP(B30,Produtos!$A$4:$I$13,9,FALSE),""))</f>
        <v/>
      </c>
      <c r="H30" s="7" t="str">
        <f t="shared" si="2"/>
        <v/>
      </c>
      <c r="I30" s="5" t="s">
        <v>47</v>
      </c>
      <c r="J30" s="5"/>
    </row>
    <row r="31" spans="1:10" x14ac:dyDescent="0.25">
      <c r="A31" s="2"/>
      <c r="B31" s="2"/>
      <c r="C31" s="2"/>
      <c r="D31" s="3"/>
      <c r="E31" s="4" t="str">
        <f>IF(B31="","",IFERROR(VLOOKUP(B31,Produtos!$A$4:$I$13,8,FALSE),""))</f>
        <v/>
      </c>
      <c r="F31" s="4">
        <f>SUM(F20:F30)</f>
        <v>86</v>
      </c>
      <c r="G31" s="4" t="str">
        <f>IF(OR(B31="",D31=""),"",IFERROR(D31*VLOOKUP(B31,Produtos!$A$4:$I$13,9,FALSE),""))</f>
        <v/>
      </c>
      <c r="H31" s="4" t="str">
        <f t="shared" si="2"/>
        <v/>
      </c>
      <c r="I31" s="2"/>
      <c r="J31" s="2"/>
    </row>
    <row r="32" spans="1:10" x14ac:dyDescent="0.25">
      <c r="A32" s="2"/>
      <c r="B32" s="2"/>
      <c r="C32" s="2"/>
      <c r="D32" s="3"/>
      <c r="E32" s="4" t="str">
        <f>IF(B32="","",IFERROR(VLOOKUP(B32,Produtos!$A$4:$I$13,8,FALSE),""))</f>
        <v/>
      </c>
      <c r="F32" s="4" t="str">
        <f t="shared" si="1"/>
        <v/>
      </c>
      <c r="G32" s="4" t="str">
        <f>IF(OR(B32="",D32=""),"",IFERROR(D32*VLOOKUP(B32,Produtos!$A$4:$I$13,9,FALSE),""))</f>
        <v/>
      </c>
      <c r="H32" s="4" t="str">
        <f t="shared" si="0"/>
        <v/>
      </c>
      <c r="I32" s="2"/>
      <c r="J32" s="2"/>
    </row>
    <row r="33" spans="1:10" x14ac:dyDescent="0.25">
      <c r="A33" s="5"/>
      <c r="B33" s="5"/>
      <c r="C33" s="5"/>
      <c r="D33" s="6"/>
      <c r="E33" s="7" t="str">
        <f>IF(B33="","",IFERROR(VLOOKUP(B33,Produtos!$A$4:$I$13,8,FALSE),""))</f>
        <v/>
      </c>
      <c r="F33" s="7" t="str">
        <f t="shared" si="1"/>
        <v/>
      </c>
      <c r="G33" s="7" t="str">
        <f>IF(OR(B33="",D33=""),"",IFERROR(D33*VLOOKUP(B33,Produtos!$A$4:$I$13,9,FALSE),""))</f>
        <v/>
      </c>
      <c r="H33" s="7" t="str">
        <f t="shared" si="0"/>
        <v/>
      </c>
      <c r="I33" s="5"/>
      <c r="J33" s="5"/>
    </row>
    <row r="34" spans="1:10" ht="30.75" thickBot="1" x14ac:dyDescent="0.3">
      <c r="A34" s="1" t="s">
        <v>17</v>
      </c>
      <c r="B34" s="1" t="s">
        <v>1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22</v>
      </c>
      <c r="H34" s="1" t="s">
        <v>23</v>
      </c>
      <c r="I34" s="1" t="s">
        <v>24</v>
      </c>
      <c r="J34" s="1" t="s">
        <v>25</v>
      </c>
    </row>
    <row r="35" spans="1:10" x14ac:dyDescent="0.25">
      <c r="A35" s="26">
        <v>46100</v>
      </c>
      <c r="B35" s="3" t="s">
        <v>64</v>
      </c>
      <c r="C35" s="2" t="s">
        <v>28</v>
      </c>
      <c r="D35" s="3">
        <v>1</v>
      </c>
      <c r="E35" s="4">
        <v>159.9</v>
      </c>
      <c r="F35" s="7">
        <v>159.9</v>
      </c>
      <c r="G35" s="4">
        <f>IF(OR(B35="",D35=""),"",IFERROR(D35*VLOOKUP(B35,Produtos!$A$4:$I$13,9,FALSE),""))</f>
        <v>63.64</v>
      </c>
      <c r="H35" s="4">
        <f t="shared" ref="H35:H47" si="5">IF(C35="Venda",IF(OR(F35="",G35=""),"",F35-G35),"")</f>
        <v>96.26</v>
      </c>
      <c r="I35" s="2" t="s">
        <v>47</v>
      </c>
      <c r="J35" s="2"/>
    </row>
    <row r="36" spans="1:10" x14ac:dyDescent="0.25">
      <c r="A36" s="27">
        <v>46100</v>
      </c>
      <c r="B36" s="6" t="s">
        <v>65</v>
      </c>
      <c r="C36" s="5" t="s">
        <v>28</v>
      </c>
      <c r="D36" s="6">
        <v>0</v>
      </c>
      <c r="E36" s="7">
        <v>159.9</v>
      </c>
      <c r="F36" s="7">
        <v>0</v>
      </c>
      <c r="G36" s="7">
        <f>IF(OR(B36="",D36=""),"",IFERROR(D36*VLOOKUP(B36,Produtos!$A$4:$I$13,9,FALSE),""))</f>
        <v>0</v>
      </c>
      <c r="H36" s="7">
        <f t="shared" si="5"/>
        <v>0</v>
      </c>
      <c r="I36" s="5" t="s">
        <v>47</v>
      </c>
      <c r="J36" s="5"/>
    </row>
    <row r="37" spans="1:10" x14ac:dyDescent="0.25">
      <c r="A37" s="26">
        <v>46100</v>
      </c>
      <c r="B37" s="3" t="s">
        <v>66</v>
      </c>
      <c r="C37" s="2" t="s">
        <v>28</v>
      </c>
      <c r="D37" s="3">
        <v>0</v>
      </c>
      <c r="E37" s="4">
        <v>129.9</v>
      </c>
      <c r="F37" s="4">
        <f t="shared" ref="F37:F38" si="6">IF(OR(D37="",E37=""),"",D37*E37)</f>
        <v>0</v>
      </c>
      <c r="G37" s="4">
        <f>IF(OR(B37="",D37=""),"",IFERROR(D37*VLOOKUP(B37,Produtos!$A$4:$I$13,9,FALSE),""))</f>
        <v>0</v>
      </c>
      <c r="H37" s="4">
        <f t="shared" si="5"/>
        <v>0</v>
      </c>
      <c r="I37" s="2" t="s">
        <v>47</v>
      </c>
      <c r="J37" s="2"/>
    </row>
    <row r="38" spans="1:10" x14ac:dyDescent="0.25">
      <c r="A38" s="27">
        <v>46100</v>
      </c>
      <c r="B38" s="6" t="s">
        <v>67</v>
      </c>
      <c r="C38" s="5" t="s">
        <v>28</v>
      </c>
      <c r="D38" s="6">
        <v>0</v>
      </c>
      <c r="E38" s="7">
        <v>129.9</v>
      </c>
      <c r="F38" s="7">
        <f t="shared" si="6"/>
        <v>0</v>
      </c>
      <c r="G38" s="7">
        <f>IF(OR(B38="",D38=""),"",IFERROR(D38*VLOOKUP(B38,Produtos!$A$4:$I$13,9,FALSE),""))</f>
        <v>0</v>
      </c>
      <c r="H38" s="7">
        <f t="shared" si="5"/>
        <v>0</v>
      </c>
      <c r="I38" s="5" t="s">
        <v>47</v>
      </c>
      <c r="J38" s="5"/>
    </row>
    <row r="39" spans="1:10" x14ac:dyDescent="0.25">
      <c r="A39" s="26">
        <v>46100</v>
      </c>
      <c r="B39" s="3" t="s">
        <v>68</v>
      </c>
      <c r="C39" s="2" t="s">
        <v>28</v>
      </c>
      <c r="D39" s="3">
        <v>0</v>
      </c>
      <c r="E39" s="4">
        <v>55.5</v>
      </c>
      <c r="F39" s="4">
        <v>0</v>
      </c>
      <c r="G39" s="4">
        <f>IF(OR(B39="",D39=""),"",IFERROR(D39*VLOOKUP(B39,Produtos!$A$4:$I$13,9,FALSE),""))</f>
        <v>0</v>
      </c>
      <c r="H39" s="4">
        <f t="shared" si="5"/>
        <v>0</v>
      </c>
      <c r="I39" s="2" t="s">
        <v>47</v>
      </c>
      <c r="J39" s="2"/>
    </row>
    <row r="40" spans="1:10" x14ac:dyDescent="0.25">
      <c r="A40" s="27">
        <v>46100</v>
      </c>
      <c r="B40" s="6" t="s">
        <v>69</v>
      </c>
      <c r="C40" s="5" t="s">
        <v>28</v>
      </c>
      <c r="D40" s="6">
        <v>0</v>
      </c>
      <c r="E40" s="7">
        <v>55.5</v>
      </c>
      <c r="F40" s="7">
        <v>0</v>
      </c>
      <c r="G40" s="7">
        <f>IF(OR(B40="",D40=""),"",IFERROR(D40*VLOOKUP(B40,Produtos!$A$4:$I$13,9,FALSE),""))</f>
        <v>0</v>
      </c>
      <c r="H40" s="7">
        <f t="shared" si="5"/>
        <v>0</v>
      </c>
      <c r="I40" s="5" t="s">
        <v>47</v>
      </c>
      <c r="J40" s="5"/>
    </row>
    <row r="41" spans="1:10" x14ac:dyDescent="0.25">
      <c r="A41" s="26">
        <v>46100</v>
      </c>
      <c r="B41" s="3" t="s">
        <v>70</v>
      </c>
      <c r="C41" s="2" t="s">
        <v>28</v>
      </c>
      <c r="D41" s="3">
        <v>0</v>
      </c>
      <c r="E41" s="4">
        <v>79</v>
      </c>
      <c r="F41" s="4">
        <f t="shared" ref="F41:F46" si="7">IF(OR(D41="",E41=""),"",D41*E41)</f>
        <v>0</v>
      </c>
      <c r="G41" s="4">
        <f>IF(OR(B41="",D41=""),"",IFERROR(D41*VLOOKUP(B41,Produtos!$A$4:$I$13,9,FALSE),""))</f>
        <v>0</v>
      </c>
      <c r="H41" s="4">
        <f t="shared" si="5"/>
        <v>0</v>
      </c>
      <c r="I41" s="2" t="s">
        <v>47</v>
      </c>
      <c r="J41" s="2"/>
    </row>
    <row r="42" spans="1:10" x14ac:dyDescent="0.25">
      <c r="A42" s="27">
        <v>46100</v>
      </c>
      <c r="B42" s="6" t="s">
        <v>71</v>
      </c>
      <c r="C42" s="5" t="s">
        <v>28</v>
      </c>
      <c r="D42" s="6">
        <v>0</v>
      </c>
      <c r="E42" s="7">
        <v>79</v>
      </c>
      <c r="F42" s="7">
        <f t="shared" si="7"/>
        <v>0</v>
      </c>
      <c r="G42" s="7">
        <f>IF(OR(B42="",D42=""),"",IFERROR(D42*VLOOKUP(B42,Produtos!$A$4:$I$13,9,FALSE),""))</f>
        <v>0</v>
      </c>
      <c r="H42" s="7">
        <f t="shared" si="5"/>
        <v>0</v>
      </c>
      <c r="I42" s="5" t="s">
        <v>47</v>
      </c>
      <c r="J42" s="5"/>
    </row>
    <row r="43" spans="1:10" x14ac:dyDescent="0.25">
      <c r="A43" s="26">
        <v>46100</v>
      </c>
      <c r="B43" s="3" t="s">
        <v>72</v>
      </c>
      <c r="C43" s="2" t="s">
        <v>28</v>
      </c>
      <c r="D43" s="3">
        <v>0</v>
      </c>
      <c r="E43" s="4">
        <v>46</v>
      </c>
      <c r="F43" s="4">
        <f t="shared" si="7"/>
        <v>0</v>
      </c>
      <c r="G43" s="4">
        <f>IF(OR(B43="",D43=""),"",IFERROR(D43*VLOOKUP(B43,Produtos!$A$4:$I$13,9,FALSE),""))</f>
        <v>0</v>
      </c>
      <c r="H43" s="4">
        <f t="shared" si="5"/>
        <v>0</v>
      </c>
      <c r="I43" s="2" t="s">
        <v>47</v>
      </c>
      <c r="J43" s="2"/>
    </row>
    <row r="44" spans="1:10" x14ac:dyDescent="0.25">
      <c r="A44" s="27">
        <v>46100</v>
      </c>
      <c r="B44" s="6" t="s">
        <v>73</v>
      </c>
      <c r="C44" s="5" t="s">
        <v>28</v>
      </c>
      <c r="D44" s="6">
        <v>0</v>
      </c>
      <c r="E44" s="7">
        <v>46</v>
      </c>
      <c r="F44" s="7">
        <f t="shared" si="7"/>
        <v>0</v>
      </c>
      <c r="G44" s="7">
        <f>IF(OR(B44="",D44=""),"",IFERROR(D44*VLOOKUP(B44,Produtos!$A$4:$I$13,9,FALSE),""))</f>
        <v>0</v>
      </c>
      <c r="H44" s="7">
        <f t="shared" si="5"/>
        <v>0</v>
      </c>
      <c r="I44" s="5" t="s">
        <v>47</v>
      </c>
      <c r="J44" s="5"/>
    </row>
    <row r="45" spans="1:10" x14ac:dyDescent="0.25">
      <c r="A45" s="26">
        <v>46100</v>
      </c>
      <c r="B45" s="3" t="s">
        <v>74</v>
      </c>
      <c r="C45" s="2" t="s">
        <v>28</v>
      </c>
      <c r="D45" s="3">
        <v>1</v>
      </c>
      <c r="E45" s="4">
        <v>86</v>
      </c>
      <c r="F45" s="4">
        <f t="shared" si="7"/>
        <v>86</v>
      </c>
      <c r="G45" s="4" t="str">
        <f>IF(OR(B45="",D45=""),"",IFERROR(D45*VLOOKUP(B45,Produtos!$A$4:$I$13,9,FALSE),""))</f>
        <v/>
      </c>
      <c r="H45" s="4" t="str">
        <f t="shared" si="5"/>
        <v/>
      </c>
      <c r="I45" s="2" t="s">
        <v>47</v>
      </c>
      <c r="J45" s="2"/>
    </row>
    <row r="46" spans="1:10" x14ac:dyDescent="0.25">
      <c r="A46" s="27">
        <v>46100</v>
      </c>
      <c r="B46" s="6" t="s">
        <v>75</v>
      </c>
      <c r="C46" s="5" t="s">
        <v>28</v>
      </c>
      <c r="D46" s="6">
        <v>1</v>
      </c>
      <c r="E46" s="7">
        <v>86</v>
      </c>
      <c r="F46" s="7">
        <f t="shared" si="7"/>
        <v>86</v>
      </c>
      <c r="G46" s="7" t="str">
        <f>IF(OR(B46="",D46=""),"",IFERROR(D46*VLOOKUP(B46,Produtos!$A$4:$I$13,9,FALSE),""))</f>
        <v/>
      </c>
      <c r="H46" s="7" t="str">
        <f t="shared" si="5"/>
        <v/>
      </c>
      <c r="I46" s="5" t="s">
        <v>47</v>
      </c>
      <c r="J46" s="5"/>
    </row>
    <row r="47" spans="1:10" x14ac:dyDescent="0.25">
      <c r="A47" s="2"/>
      <c r="B47" s="2"/>
      <c r="C47" s="2"/>
      <c r="D47" s="3"/>
      <c r="E47" s="4" t="str">
        <f>IF(B47="","",IFERROR(VLOOKUP(B47,Produtos!$A$4:$I$13,8,FALSE),""))</f>
        <v/>
      </c>
      <c r="F47" s="4">
        <f>SUM(F35:F46)</f>
        <v>331.9</v>
      </c>
      <c r="G47" s="4" t="str">
        <f>IF(OR(B47="",D47=""),"",IFERROR(D47*VLOOKUP(B47,Produtos!$A$4:$I$13,9,FALSE),""))</f>
        <v/>
      </c>
      <c r="H47" s="4" t="str">
        <f t="shared" si="5"/>
        <v/>
      </c>
      <c r="I47" s="2"/>
      <c r="J47" s="2"/>
    </row>
    <row r="48" spans="1:10" x14ac:dyDescent="0.25">
      <c r="A48" s="2"/>
      <c r="B48" s="2"/>
      <c r="C48" s="2"/>
      <c r="D48" s="3"/>
      <c r="E48" s="4" t="str">
        <f>IF(B48="","",IFERROR(VLOOKUP(B48,Produtos!$A$4:$I$13,8,FALSE),""))</f>
        <v/>
      </c>
      <c r="F48" s="4" t="str">
        <f t="shared" ref="F48:F67" si="8">IF(OR(D48="",E48=""),"",D48*E48)</f>
        <v/>
      </c>
      <c r="G48" s="4" t="str">
        <f>IF(OR(B48="",D48=""),"",IFERROR(D48*VLOOKUP(B48,Produtos!$A$4:$I$13,9,FALSE),""))</f>
        <v/>
      </c>
      <c r="H48" s="4" t="str">
        <f t="shared" ref="H48:H67" si="9">IF(C48="Venda",IF(OR(F48="",G48=""),"",F48-G48),"")</f>
        <v/>
      </c>
      <c r="I48" s="2"/>
      <c r="J48" s="2"/>
    </row>
    <row r="49" spans="1:10" x14ac:dyDescent="0.25">
      <c r="A49" s="5"/>
      <c r="B49" s="5"/>
      <c r="C49" s="5"/>
      <c r="D49" s="6"/>
      <c r="E49" s="7" t="str">
        <f>IF(B49="","",IFERROR(VLOOKUP(B49,Produtos!$A$4:$I$13,8,FALSE),""))</f>
        <v/>
      </c>
      <c r="F49" s="7" t="str">
        <f t="shared" si="8"/>
        <v/>
      </c>
      <c r="G49" s="7" t="str">
        <f>IF(OR(B49="",D49=""),"",IFERROR(D49*VLOOKUP(B49,Produtos!$A$4:$I$13,9,FALSE),""))</f>
        <v/>
      </c>
      <c r="H49" s="7" t="str">
        <f t="shared" si="9"/>
        <v/>
      </c>
      <c r="I49" s="5"/>
      <c r="J49" s="5"/>
    </row>
    <row r="50" spans="1:10" ht="30.75" thickBot="1" x14ac:dyDescent="0.3">
      <c r="A50" s="1" t="s">
        <v>17</v>
      </c>
      <c r="B50" s="1" t="s">
        <v>1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22</v>
      </c>
      <c r="H50" s="1" t="s">
        <v>23</v>
      </c>
      <c r="I50" s="1" t="s">
        <v>24</v>
      </c>
      <c r="J50" s="1" t="s">
        <v>25</v>
      </c>
    </row>
    <row r="51" spans="1:10" x14ac:dyDescent="0.25">
      <c r="A51" s="26">
        <v>46101</v>
      </c>
      <c r="B51" s="3" t="s">
        <v>64</v>
      </c>
      <c r="C51" s="2" t="s">
        <v>28</v>
      </c>
      <c r="D51" s="3">
        <v>0</v>
      </c>
      <c r="E51" s="4">
        <v>159.9</v>
      </c>
      <c r="F51" s="7">
        <v>0</v>
      </c>
      <c r="G51" s="4">
        <f>IF(OR(B51="",D51=""),"",IFERROR(D51*VLOOKUP(B51,Produtos!$A$4:$I$13,9,FALSE),""))</f>
        <v>0</v>
      </c>
      <c r="H51" s="4">
        <f t="shared" ref="H51:H63" si="10">IF(C51="Venda",IF(OR(F51="",G51=""),"",F51-G51),"")</f>
        <v>0</v>
      </c>
      <c r="I51" s="2" t="s">
        <v>47</v>
      </c>
      <c r="J51" s="2"/>
    </row>
    <row r="52" spans="1:10" x14ac:dyDescent="0.25">
      <c r="A52" s="27">
        <v>46101</v>
      </c>
      <c r="B52" s="6" t="s">
        <v>65</v>
      </c>
      <c r="C52" s="5" t="s">
        <v>28</v>
      </c>
      <c r="D52" s="6">
        <v>0</v>
      </c>
      <c r="E52" s="7">
        <v>159.9</v>
      </c>
      <c r="F52" s="7">
        <v>0</v>
      </c>
      <c r="G52" s="7">
        <f>IF(OR(B52="",D52=""),"",IFERROR(D52*VLOOKUP(B52,Produtos!$A$4:$I$13,9,FALSE),""))</f>
        <v>0</v>
      </c>
      <c r="H52" s="7">
        <f t="shared" si="10"/>
        <v>0</v>
      </c>
      <c r="I52" s="5" t="s">
        <v>47</v>
      </c>
      <c r="J52" s="5"/>
    </row>
    <row r="53" spans="1:10" x14ac:dyDescent="0.25">
      <c r="A53" s="26">
        <v>46101</v>
      </c>
      <c r="B53" s="3" t="s">
        <v>66</v>
      </c>
      <c r="C53" s="2" t="s">
        <v>28</v>
      </c>
      <c r="D53" s="3">
        <v>1</v>
      </c>
      <c r="E53" s="4">
        <v>129.9</v>
      </c>
      <c r="F53" s="4">
        <f t="shared" ref="F53:F54" si="11">IF(OR(D53="",E53=""),"",D53*E53)</f>
        <v>129.9</v>
      </c>
      <c r="G53" s="4">
        <f>IF(OR(B53="",D53=""),"",IFERROR(D53*VLOOKUP(B53,Produtos!$A$4:$I$13,9,FALSE),""))</f>
        <v>47.73</v>
      </c>
      <c r="H53" s="4">
        <f t="shared" si="10"/>
        <v>82.170000000000016</v>
      </c>
      <c r="I53" s="2" t="s">
        <v>47</v>
      </c>
      <c r="J53" s="2"/>
    </row>
    <row r="54" spans="1:10" x14ac:dyDescent="0.25">
      <c r="A54" s="27">
        <v>46101</v>
      </c>
      <c r="B54" s="6" t="s">
        <v>67</v>
      </c>
      <c r="C54" s="5" t="s">
        <v>28</v>
      </c>
      <c r="D54" s="6">
        <v>0</v>
      </c>
      <c r="E54" s="7">
        <v>129.9</v>
      </c>
      <c r="F54" s="7">
        <f t="shared" si="11"/>
        <v>0</v>
      </c>
      <c r="G54" s="7">
        <f>IF(OR(B54="",D54=""),"",IFERROR(D54*VLOOKUP(B54,Produtos!$A$4:$I$13,9,FALSE),""))</f>
        <v>0</v>
      </c>
      <c r="H54" s="7">
        <f t="shared" si="10"/>
        <v>0</v>
      </c>
      <c r="I54" s="5" t="s">
        <v>47</v>
      </c>
      <c r="J54" s="5"/>
    </row>
    <row r="55" spans="1:10" x14ac:dyDescent="0.25">
      <c r="A55" s="26">
        <v>46101</v>
      </c>
      <c r="B55" s="3" t="s">
        <v>68</v>
      </c>
      <c r="C55" s="2" t="s">
        <v>28</v>
      </c>
      <c r="D55" s="3">
        <v>0</v>
      </c>
      <c r="E55" s="4">
        <v>55.5</v>
      </c>
      <c r="F55" s="4">
        <v>0</v>
      </c>
      <c r="G55" s="4">
        <f>IF(OR(B55="",D55=""),"",IFERROR(D55*VLOOKUP(B55,Produtos!$A$4:$I$13,9,FALSE),""))</f>
        <v>0</v>
      </c>
      <c r="H55" s="4">
        <f t="shared" si="10"/>
        <v>0</v>
      </c>
      <c r="I55" s="2" t="s">
        <v>47</v>
      </c>
      <c r="J55" s="2"/>
    </row>
    <row r="56" spans="1:10" x14ac:dyDescent="0.25">
      <c r="A56" s="27">
        <v>46101</v>
      </c>
      <c r="B56" s="6" t="s">
        <v>69</v>
      </c>
      <c r="C56" s="5" t="s">
        <v>28</v>
      </c>
      <c r="D56" s="6">
        <v>0</v>
      </c>
      <c r="E56" s="7">
        <v>55.5</v>
      </c>
      <c r="F56" s="7">
        <v>0</v>
      </c>
      <c r="G56" s="7">
        <f>IF(OR(B56="",D56=""),"",IFERROR(D56*VLOOKUP(B56,Produtos!$A$4:$I$13,9,FALSE),""))</f>
        <v>0</v>
      </c>
      <c r="H56" s="7">
        <f t="shared" si="10"/>
        <v>0</v>
      </c>
      <c r="I56" s="5" t="s">
        <v>47</v>
      </c>
      <c r="J56" s="5"/>
    </row>
    <row r="57" spans="1:10" x14ac:dyDescent="0.25">
      <c r="A57" s="26">
        <v>46101</v>
      </c>
      <c r="B57" s="3" t="s">
        <v>70</v>
      </c>
      <c r="C57" s="2" t="s">
        <v>28</v>
      </c>
      <c r="D57" s="3">
        <v>0</v>
      </c>
      <c r="E57" s="4">
        <v>79</v>
      </c>
      <c r="F57" s="4">
        <f t="shared" ref="F57:F62" si="12">IF(OR(D57="",E57=""),"",D57*E57)</f>
        <v>0</v>
      </c>
      <c r="G57" s="4">
        <f>IF(OR(B57="",D57=""),"",IFERROR(D57*VLOOKUP(B57,Produtos!$A$4:$I$13,9,FALSE),""))</f>
        <v>0</v>
      </c>
      <c r="H57" s="4">
        <f t="shared" si="10"/>
        <v>0</v>
      </c>
      <c r="I57" s="2" t="s">
        <v>47</v>
      </c>
      <c r="J57" s="2"/>
    </row>
    <row r="58" spans="1:10" x14ac:dyDescent="0.25">
      <c r="A58" s="27">
        <v>46101</v>
      </c>
      <c r="B58" s="6" t="s">
        <v>71</v>
      </c>
      <c r="C58" s="5" t="s">
        <v>28</v>
      </c>
      <c r="D58" s="6">
        <v>0</v>
      </c>
      <c r="E58" s="7">
        <v>79</v>
      </c>
      <c r="F58" s="7">
        <f t="shared" si="12"/>
        <v>0</v>
      </c>
      <c r="G58" s="7">
        <f>IF(OR(B58="",D58=""),"",IFERROR(D58*VLOOKUP(B58,Produtos!$A$4:$I$13,9,FALSE),""))</f>
        <v>0</v>
      </c>
      <c r="H58" s="7">
        <f t="shared" si="10"/>
        <v>0</v>
      </c>
      <c r="I58" s="5" t="s">
        <v>47</v>
      </c>
      <c r="J58" s="5"/>
    </row>
    <row r="59" spans="1:10" x14ac:dyDescent="0.25">
      <c r="A59" s="26">
        <v>46101</v>
      </c>
      <c r="B59" s="3" t="s">
        <v>72</v>
      </c>
      <c r="C59" s="2" t="s">
        <v>28</v>
      </c>
      <c r="D59" s="3">
        <v>0</v>
      </c>
      <c r="E59" s="4">
        <v>46</v>
      </c>
      <c r="F59" s="4">
        <f t="shared" si="12"/>
        <v>0</v>
      </c>
      <c r="G59" s="4">
        <f>IF(OR(B59="",D59=""),"",IFERROR(D59*VLOOKUP(B59,Produtos!$A$4:$I$13,9,FALSE),""))</f>
        <v>0</v>
      </c>
      <c r="H59" s="4">
        <f t="shared" si="10"/>
        <v>0</v>
      </c>
      <c r="I59" s="2" t="s">
        <v>47</v>
      </c>
      <c r="J59" s="2"/>
    </row>
    <row r="60" spans="1:10" x14ac:dyDescent="0.25">
      <c r="A60" s="27">
        <v>46101</v>
      </c>
      <c r="B60" s="6" t="s">
        <v>73</v>
      </c>
      <c r="C60" s="5" t="s">
        <v>28</v>
      </c>
      <c r="D60" s="6">
        <v>0</v>
      </c>
      <c r="E60" s="7">
        <v>46</v>
      </c>
      <c r="F60" s="7">
        <f t="shared" si="12"/>
        <v>0</v>
      </c>
      <c r="G60" s="7">
        <f>IF(OR(B60="",D60=""),"",IFERROR(D60*VLOOKUP(B60,Produtos!$A$4:$I$13,9,FALSE),""))</f>
        <v>0</v>
      </c>
      <c r="H60" s="7">
        <f t="shared" si="10"/>
        <v>0</v>
      </c>
      <c r="I60" s="5" t="s">
        <v>47</v>
      </c>
      <c r="J60" s="5"/>
    </row>
    <row r="61" spans="1:10" x14ac:dyDescent="0.25">
      <c r="A61" s="26">
        <v>46101</v>
      </c>
      <c r="B61" s="3" t="s">
        <v>74</v>
      </c>
      <c r="C61" s="2" t="s">
        <v>28</v>
      </c>
      <c r="D61" s="3">
        <v>0</v>
      </c>
      <c r="E61" s="4">
        <v>86</v>
      </c>
      <c r="F61" s="4">
        <f t="shared" si="12"/>
        <v>0</v>
      </c>
      <c r="G61" s="4" t="str">
        <f>IF(OR(B61="",D61=""),"",IFERROR(D61*VLOOKUP(B61,Produtos!$A$4:$I$13,9,FALSE),""))</f>
        <v/>
      </c>
      <c r="H61" s="4" t="str">
        <f t="shared" si="10"/>
        <v/>
      </c>
      <c r="I61" s="2" t="s">
        <v>47</v>
      </c>
      <c r="J61" s="2"/>
    </row>
    <row r="62" spans="1:10" x14ac:dyDescent="0.25">
      <c r="A62" s="27">
        <v>46101</v>
      </c>
      <c r="B62" s="6" t="s">
        <v>75</v>
      </c>
      <c r="C62" s="5" t="s">
        <v>28</v>
      </c>
      <c r="D62" s="6">
        <v>0</v>
      </c>
      <c r="E62" s="7">
        <v>86</v>
      </c>
      <c r="F62" s="7">
        <f t="shared" si="12"/>
        <v>0</v>
      </c>
      <c r="G62" s="7" t="str">
        <f>IF(OR(B62="",D62=""),"",IFERROR(D62*VLOOKUP(B62,Produtos!$A$4:$I$13,9,FALSE),""))</f>
        <v/>
      </c>
      <c r="H62" s="7" t="str">
        <f t="shared" si="10"/>
        <v/>
      </c>
      <c r="I62" s="5" t="s">
        <v>47</v>
      </c>
      <c r="J62" s="5"/>
    </row>
    <row r="63" spans="1:10" x14ac:dyDescent="0.25">
      <c r="A63" s="2"/>
      <c r="B63" s="2"/>
      <c r="C63" s="2"/>
      <c r="D63" s="3"/>
      <c r="E63" s="4" t="str">
        <f>IF(B63="","",IFERROR(VLOOKUP(B63,Produtos!$A$4:$I$13,8,FALSE),""))</f>
        <v/>
      </c>
      <c r="F63" s="4">
        <f>SUM(F52:F62)</f>
        <v>129.9</v>
      </c>
      <c r="G63" s="4" t="str">
        <f>IF(OR(B63="",D63=""),"",IFERROR(D63*VLOOKUP(B63,Produtos!$A$4:$I$13,9,FALSE),""))</f>
        <v/>
      </c>
      <c r="H63" s="4" t="str">
        <f t="shared" si="10"/>
        <v/>
      </c>
      <c r="I63" s="2"/>
      <c r="J63" s="2"/>
    </row>
    <row r="64" spans="1:10" x14ac:dyDescent="0.25">
      <c r="A64" s="2"/>
      <c r="B64" s="2"/>
      <c r="C64" s="2"/>
      <c r="D64" s="3"/>
      <c r="E64" s="4" t="str">
        <f>IF(B64="","",IFERROR(VLOOKUP(B64,Produtos!$A$4:$I$13,8,FALSE),""))</f>
        <v/>
      </c>
      <c r="F64" s="4" t="str">
        <f t="shared" si="8"/>
        <v/>
      </c>
      <c r="G64" s="4" t="str">
        <f>IF(OR(B64="",D64=""),"",IFERROR(D64*VLOOKUP(B64,Produtos!$A$4:$I$13,9,FALSE),""))</f>
        <v/>
      </c>
      <c r="H64" s="4" t="str">
        <f t="shared" si="9"/>
        <v/>
      </c>
      <c r="I64" s="2"/>
      <c r="J64" s="2"/>
    </row>
    <row r="65" spans="1:10" x14ac:dyDescent="0.25">
      <c r="A65" s="5"/>
      <c r="B65" s="5"/>
      <c r="C65" s="5"/>
      <c r="D65" s="6"/>
      <c r="E65" s="7" t="str">
        <f>IF(B65="","",IFERROR(VLOOKUP(B65,Produtos!$A$4:$I$13,8,FALSE),""))</f>
        <v/>
      </c>
      <c r="F65" s="7" t="str">
        <f t="shared" si="8"/>
        <v/>
      </c>
      <c r="G65" s="7" t="str">
        <f>IF(OR(B65="",D65=""),"",IFERROR(D65*VLOOKUP(B65,Produtos!$A$4:$I$13,9,FALSE),""))</f>
        <v/>
      </c>
      <c r="H65" s="7" t="str">
        <f t="shared" si="9"/>
        <v/>
      </c>
      <c r="I65" s="5"/>
      <c r="J65" s="5"/>
    </row>
    <row r="66" spans="1:10" ht="30.75" thickBot="1" x14ac:dyDescent="0.3">
      <c r="A66" s="1" t="s">
        <v>17</v>
      </c>
      <c r="B66" s="1" t="s">
        <v>1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25</v>
      </c>
    </row>
    <row r="67" spans="1:10" x14ac:dyDescent="0.25">
      <c r="A67" s="26">
        <v>46105</v>
      </c>
      <c r="B67" s="3" t="s">
        <v>64</v>
      </c>
      <c r="C67" s="2" t="s">
        <v>28</v>
      </c>
      <c r="D67" s="3">
        <v>1</v>
      </c>
      <c r="E67" s="4">
        <v>159.9</v>
      </c>
      <c r="F67" s="4">
        <f t="shared" ref="F67:F78" si="13">IF(OR(D67="",E67=""),"",D67*E67)</f>
        <v>159.9</v>
      </c>
      <c r="G67" s="4">
        <f>IF(OR(B67="",D67=""),"",IFERROR(D67*VLOOKUP(B67,Produtos!$A$4:$I$13,9,FALSE),""))</f>
        <v>63.64</v>
      </c>
      <c r="H67" s="4">
        <f t="shared" ref="H67:H79" si="14">IF(C67="Venda",IF(OR(F67="",G67=""),"",F67-G67),"")</f>
        <v>96.26</v>
      </c>
      <c r="I67" s="2" t="s">
        <v>47</v>
      </c>
      <c r="J67" s="2"/>
    </row>
    <row r="68" spans="1:10" x14ac:dyDescent="0.25">
      <c r="A68" s="27">
        <v>46105</v>
      </c>
      <c r="B68" s="6" t="s">
        <v>65</v>
      </c>
      <c r="C68" s="5" t="s">
        <v>28</v>
      </c>
      <c r="D68" s="6">
        <v>0</v>
      </c>
      <c r="E68" s="7">
        <v>159.9</v>
      </c>
      <c r="F68" s="7">
        <f t="shared" si="13"/>
        <v>0</v>
      </c>
      <c r="G68" s="7">
        <f>IF(OR(B68="",D68=""),"",IFERROR(D68*VLOOKUP(B68,Produtos!$A$4:$I$13,9,FALSE),""))</f>
        <v>0</v>
      </c>
      <c r="H68" s="7">
        <f t="shared" si="14"/>
        <v>0</v>
      </c>
      <c r="I68" s="5" t="s">
        <v>47</v>
      </c>
      <c r="J68" s="5"/>
    </row>
    <row r="69" spans="1:10" x14ac:dyDescent="0.25">
      <c r="A69" s="26">
        <v>46105</v>
      </c>
      <c r="B69" s="3" t="s">
        <v>66</v>
      </c>
      <c r="C69" s="2" t="s">
        <v>28</v>
      </c>
      <c r="D69" s="3">
        <v>0</v>
      </c>
      <c r="E69" s="4">
        <v>129.9</v>
      </c>
      <c r="F69" s="4">
        <f t="shared" si="13"/>
        <v>0</v>
      </c>
      <c r="G69" s="4">
        <f>IF(OR(B69="",D69=""),"",IFERROR(D69*VLOOKUP(B69,Produtos!$A$4:$I$13,9,FALSE),""))</f>
        <v>0</v>
      </c>
      <c r="H69" s="4">
        <f t="shared" si="14"/>
        <v>0</v>
      </c>
      <c r="I69" s="2" t="s">
        <v>47</v>
      </c>
      <c r="J69" s="2"/>
    </row>
    <row r="70" spans="1:10" x14ac:dyDescent="0.25">
      <c r="A70" s="27">
        <v>46105</v>
      </c>
      <c r="B70" s="6" t="s">
        <v>67</v>
      </c>
      <c r="C70" s="5" t="s">
        <v>28</v>
      </c>
      <c r="D70" s="6">
        <v>0</v>
      </c>
      <c r="E70" s="7">
        <v>129.9</v>
      </c>
      <c r="F70" s="7">
        <f t="shared" si="13"/>
        <v>0</v>
      </c>
      <c r="G70" s="7">
        <f>IF(OR(B70="",D70=""),"",IFERROR(D70*VLOOKUP(B70,Produtos!$A$4:$I$13,9,FALSE),""))</f>
        <v>0</v>
      </c>
      <c r="H70" s="7">
        <f t="shared" si="14"/>
        <v>0</v>
      </c>
      <c r="I70" s="5" t="s">
        <v>47</v>
      </c>
      <c r="J70" s="5"/>
    </row>
    <row r="71" spans="1:10" x14ac:dyDescent="0.25">
      <c r="A71" s="26">
        <v>46105</v>
      </c>
      <c r="B71" s="3" t="s">
        <v>68</v>
      </c>
      <c r="C71" s="2" t="s">
        <v>28</v>
      </c>
      <c r="D71" s="3">
        <v>2</v>
      </c>
      <c r="E71" s="4">
        <v>55.5</v>
      </c>
      <c r="F71" s="4">
        <f t="shared" si="13"/>
        <v>111</v>
      </c>
      <c r="G71" s="4">
        <f>IF(OR(B71="",D71=""),"",IFERROR(D71*VLOOKUP(B71,Produtos!$A$4:$I$13,9,FALSE),""))</f>
        <v>43.98</v>
      </c>
      <c r="H71" s="4">
        <f t="shared" si="14"/>
        <v>67.02000000000001</v>
      </c>
      <c r="I71" s="2" t="s">
        <v>47</v>
      </c>
      <c r="J71" s="2"/>
    </row>
    <row r="72" spans="1:10" x14ac:dyDescent="0.25">
      <c r="A72" s="27">
        <v>46105</v>
      </c>
      <c r="B72" s="6" t="s">
        <v>69</v>
      </c>
      <c r="C72" s="5" t="s">
        <v>28</v>
      </c>
      <c r="D72" s="6">
        <v>2</v>
      </c>
      <c r="E72" s="7">
        <v>55.5</v>
      </c>
      <c r="F72" s="7">
        <f t="shared" si="13"/>
        <v>111</v>
      </c>
      <c r="G72" s="7">
        <f>IF(OR(B72="",D72=""),"",IFERROR(D72*VLOOKUP(B72,Produtos!$A$4:$I$13,9,FALSE),""))</f>
        <v>43.98</v>
      </c>
      <c r="H72" s="7">
        <f t="shared" si="14"/>
        <v>67.02000000000001</v>
      </c>
      <c r="I72" s="5" t="s">
        <v>47</v>
      </c>
      <c r="J72" s="5"/>
    </row>
    <row r="73" spans="1:10" x14ac:dyDescent="0.25">
      <c r="A73" s="26">
        <v>46105</v>
      </c>
      <c r="B73" s="3" t="s">
        <v>70</v>
      </c>
      <c r="C73" s="2" t="s">
        <v>28</v>
      </c>
      <c r="D73" s="3">
        <v>4</v>
      </c>
      <c r="E73" s="4">
        <v>79</v>
      </c>
      <c r="F73" s="4">
        <f t="shared" si="13"/>
        <v>316</v>
      </c>
      <c r="G73" s="4">
        <f>IF(OR(B73="",D73=""),"",IFERROR(D73*VLOOKUP(B73,Produtos!$A$4:$I$13,9,FALSE),""))</f>
        <v>114.72</v>
      </c>
      <c r="H73" s="4">
        <f t="shared" si="14"/>
        <v>201.28</v>
      </c>
      <c r="I73" s="2" t="s">
        <v>47</v>
      </c>
      <c r="J73" s="2"/>
    </row>
    <row r="74" spans="1:10" x14ac:dyDescent="0.25">
      <c r="A74" s="27">
        <v>46105</v>
      </c>
      <c r="B74" s="6" t="s">
        <v>71</v>
      </c>
      <c r="C74" s="5" t="s">
        <v>28</v>
      </c>
      <c r="D74" s="6">
        <v>5</v>
      </c>
      <c r="E74" s="7">
        <v>79</v>
      </c>
      <c r="F74" s="7">
        <f t="shared" si="13"/>
        <v>395</v>
      </c>
      <c r="G74" s="7">
        <f>IF(OR(B74="",D74=""),"",IFERROR(D74*VLOOKUP(B74,Produtos!$A$4:$I$13,9,FALSE),""))</f>
        <v>143.4</v>
      </c>
      <c r="H74" s="7">
        <f t="shared" si="14"/>
        <v>251.6</v>
      </c>
      <c r="I74" s="5" t="s">
        <v>47</v>
      </c>
      <c r="J74" s="5"/>
    </row>
    <row r="75" spans="1:10" x14ac:dyDescent="0.25">
      <c r="A75" s="26">
        <v>46105</v>
      </c>
      <c r="B75" s="3" t="s">
        <v>72</v>
      </c>
      <c r="C75" s="2" t="s">
        <v>28</v>
      </c>
      <c r="D75" s="3">
        <v>0</v>
      </c>
      <c r="E75" s="4">
        <v>46</v>
      </c>
      <c r="F75" s="4">
        <f t="shared" si="13"/>
        <v>0</v>
      </c>
      <c r="G75" s="4">
        <f>IF(OR(B75="",D75=""),"",IFERROR(D75*VLOOKUP(B75,Produtos!$A$4:$I$13,9,FALSE),""))</f>
        <v>0</v>
      </c>
      <c r="H75" s="4">
        <f t="shared" si="14"/>
        <v>0</v>
      </c>
      <c r="I75" s="2" t="s">
        <v>47</v>
      </c>
      <c r="J75" s="2"/>
    </row>
    <row r="76" spans="1:10" x14ac:dyDescent="0.25">
      <c r="A76" s="27">
        <v>46105</v>
      </c>
      <c r="B76" s="6" t="s">
        <v>73</v>
      </c>
      <c r="C76" s="5" t="s">
        <v>28</v>
      </c>
      <c r="D76" s="6">
        <v>0</v>
      </c>
      <c r="E76" s="7">
        <v>46</v>
      </c>
      <c r="F76" s="7">
        <f t="shared" si="13"/>
        <v>0</v>
      </c>
      <c r="G76" s="7">
        <f>IF(OR(B76="",D76=""),"",IFERROR(D76*VLOOKUP(B76,Produtos!$A$4:$I$13,9,FALSE),""))</f>
        <v>0</v>
      </c>
      <c r="H76" s="7">
        <f t="shared" si="14"/>
        <v>0</v>
      </c>
      <c r="I76" s="5" t="s">
        <v>47</v>
      </c>
      <c r="J76" s="5"/>
    </row>
    <row r="77" spans="1:10" x14ac:dyDescent="0.25">
      <c r="A77" s="26">
        <v>46105</v>
      </c>
      <c r="B77" s="3" t="s">
        <v>74</v>
      </c>
      <c r="C77" s="2" t="s">
        <v>28</v>
      </c>
      <c r="D77" s="3">
        <v>1</v>
      </c>
      <c r="E77" s="4">
        <v>86</v>
      </c>
      <c r="F77" s="4">
        <f t="shared" si="13"/>
        <v>86</v>
      </c>
      <c r="G77" s="4" t="str">
        <f>IF(OR(B77="",D77=""),"",IFERROR(D77*VLOOKUP(B77,Produtos!$A$4:$I$13,9,FALSE),""))</f>
        <v/>
      </c>
      <c r="H77" s="4" t="str">
        <f t="shared" si="14"/>
        <v/>
      </c>
      <c r="I77" s="2" t="s">
        <v>47</v>
      </c>
      <c r="J77" s="2"/>
    </row>
    <row r="78" spans="1:10" x14ac:dyDescent="0.25">
      <c r="A78" s="27">
        <v>46105</v>
      </c>
      <c r="B78" s="6" t="s">
        <v>75</v>
      </c>
      <c r="C78" s="5" t="s">
        <v>28</v>
      </c>
      <c r="D78" s="6">
        <v>0</v>
      </c>
      <c r="E78" s="7">
        <v>86</v>
      </c>
      <c r="F78" s="7">
        <f t="shared" si="13"/>
        <v>0</v>
      </c>
      <c r="G78" s="7" t="str">
        <f>IF(OR(B78="",D78=""),"",IFERROR(D78*VLOOKUP(B78,Produtos!$A$4:$I$13,9,FALSE),""))</f>
        <v/>
      </c>
      <c r="H78" s="7" t="str">
        <f t="shared" si="14"/>
        <v/>
      </c>
      <c r="I78" s="5" t="s">
        <v>47</v>
      </c>
      <c r="J78" s="5"/>
    </row>
    <row r="79" spans="1:10" x14ac:dyDescent="0.25">
      <c r="A79" s="2"/>
      <c r="B79" s="2"/>
      <c r="C79" s="2"/>
      <c r="D79" s="3"/>
      <c r="E79" s="4" t="str">
        <f>IF(B79="","",IFERROR(VLOOKUP(B79,Produtos!$A$4:$I$13,8,FALSE),""))</f>
        <v/>
      </c>
      <c r="F79" s="4">
        <f>SUM(F68:F78)</f>
        <v>1019</v>
      </c>
      <c r="G79" s="4" t="str">
        <f>IF(OR(B79="",D79=""),"",IFERROR(D79*VLOOKUP(B79,Produtos!$A$4:$I$13,9,FALSE),""))</f>
        <v/>
      </c>
      <c r="H79" s="4" t="str">
        <f t="shared" si="14"/>
        <v/>
      </c>
      <c r="I79" s="2"/>
      <c r="J79" s="2"/>
    </row>
    <row r="80" spans="1:10" x14ac:dyDescent="0.25">
      <c r="A80" s="2"/>
      <c r="B80" s="2"/>
      <c r="C80" s="2"/>
      <c r="D80" s="3"/>
      <c r="E80" s="4" t="str">
        <f>IF(B80="","",IFERROR(VLOOKUP(B80,Produtos!$A$4:$I$13,8,FALSE),""))</f>
        <v/>
      </c>
      <c r="F80" s="4" t="str">
        <f t="shared" ref="F68:F99" si="15">IF(OR(D80="",E80=""),"",D80*E80)</f>
        <v/>
      </c>
      <c r="G80" s="4" t="str">
        <f>IF(OR(B80="",D80=""),"",IFERROR(D80*VLOOKUP(B80,Produtos!$A$4:$I$13,9,FALSE),""))</f>
        <v/>
      </c>
      <c r="H80" s="4" t="str">
        <f t="shared" ref="H68:H99" si="16">IF(C80="Venda",IF(OR(F80="",G80=""),"",F80-G80),"")</f>
        <v/>
      </c>
      <c r="I80" s="2"/>
      <c r="J80" s="2"/>
    </row>
    <row r="81" spans="1:10" x14ac:dyDescent="0.25">
      <c r="A81" s="5"/>
      <c r="B81" s="5"/>
      <c r="C81" s="5"/>
      <c r="D81" s="6"/>
      <c r="E81" s="7" t="str">
        <f>IF(B81="","",IFERROR(VLOOKUP(B81,Produtos!$A$4:$I$13,8,FALSE),""))</f>
        <v/>
      </c>
      <c r="F81" s="7" t="str">
        <f t="shared" si="15"/>
        <v/>
      </c>
      <c r="G81" s="7" t="str">
        <f>IF(OR(B81="",D81=""),"",IFERROR(D81*VLOOKUP(B81,Produtos!$A$4:$I$13,9,FALSE),""))</f>
        <v/>
      </c>
      <c r="H81" s="7" t="str">
        <f t="shared" si="16"/>
        <v/>
      </c>
      <c r="I81" s="5"/>
      <c r="J81" s="5"/>
    </row>
    <row r="82" spans="1:10" x14ac:dyDescent="0.25">
      <c r="A82" s="2"/>
      <c r="B82" s="2"/>
      <c r="C82" s="2"/>
      <c r="D82" s="3"/>
      <c r="E82" s="4" t="str">
        <f>IF(B82="","",IFERROR(VLOOKUP(B82,Produtos!$A$4:$I$13,8,FALSE),""))</f>
        <v/>
      </c>
      <c r="F82" s="4" t="str">
        <f t="shared" si="15"/>
        <v/>
      </c>
      <c r="G82" s="4" t="str">
        <f>IF(OR(B82="",D82=""),"",IFERROR(D82*VLOOKUP(B82,Produtos!$A$4:$I$13,9,FALSE),""))</f>
        <v/>
      </c>
      <c r="H82" s="4" t="str">
        <f t="shared" si="16"/>
        <v/>
      </c>
      <c r="I82" s="2"/>
      <c r="J82" s="2"/>
    </row>
    <row r="83" spans="1:10" x14ac:dyDescent="0.25">
      <c r="A83" s="5"/>
      <c r="B83" s="5"/>
      <c r="C83" s="5"/>
      <c r="D83" s="6"/>
      <c r="E83" s="7" t="str">
        <f>IF(B83="","",IFERROR(VLOOKUP(B83,Produtos!$A$4:$I$13,8,FALSE),""))</f>
        <v/>
      </c>
      <c r="F83" s="7" t="str">
        <f t="shared" si="15"/>
        <v/>
      </c>
      <c r="G83" s="7" t="str">
        <f>IF(OR(B83="",D83=""),"",IFERROR(D83*VLOOKUP(B83,Produtos!$A$4:$I$13,9,FALSE),""))</f>
        <v/>
      </c>
      <c r="H83" s="7" t="str">
        <f t="shared" si="16"/>
        <v/>
      </c>
      <c r="I83" s="5"/>
      <c r="J83" s="5"/>
    </row>
    <row r="84" spans="1:10" x14ac:dyDescent="0.25">
      <c r="A84" s="2"/>
      <c r="B84" s="2"/>
      <c r="C84" s="2"/>
      <c r="D84" s="3"/>
      <c r="E84" s="4" t="str">
        <f>IF(B84="","",IFERROR(VLOOKUP(B84,Produtos!$A$4:$I$13,8,FALSE),""))</f>
        <v/>
      </c>
      <c r="F84" s="4" t="str">
        <f t="shared" si="15"/>
        <v/>
      </c>
      <c r="G84" s="4" t="str">
        <f>IF(OR(B84="",D84=""),"",IFERROR(D84*VLOOKUP(B84,Produtos!$A$4:$I$13,9,FALSE),""))</f>
        <v/>
      </c>
      <c r="H84" s="4" t="str">
        <f t="shared" si="16"/>
        <v/>
      </c>
      <c r="I84" s="2"/>
      <c r="J84" s="2"/>
    </row>
    <row r="85" spans="1:10" x14ac:dyDescent="0.25">
      <c r="A85" s="5"/>
      <c r="B85" s="5"/>
      <c r="C85" s="5"/>
      <c r="D85" s="6"/>
      <c r="E85" s="7" t="str">
        <f>IF(B85="","",IFERROR(VLOOKUP(B85,Produtos!$A$4:$I$13,8,FALSE),""))</f>
        <v/>
      </c>
      <c r="F85" s="7" t="str">
        <f t="shared" si="15"/>
        <v/>
      </c>
      <c r="G85" s="7" t="str">
        <f>IF(OR(B85="",D85=""),"",IFERROR(D85*VLOOKUP(B85,Produtos!$A$4:$I$13,9,FALSE),""))</f>
        <v/>
      </c>
      <c r="H85" s="7" t="str">
        <f t="shared" si="16"/>
        <v/>
      </c>
      <c r="I85" s="5"/>
      <c r="J85" s="5"/>
    </row>
    <row r="86" spans="1:10" x14ac:dyDescent="0.25">
      <c r="A86" s="2"/>
      <c r="B86" s="2"/>
      <c r="C86" s="2"/>
      <c r="D86" s="3"/>
      <c r="E86" s="4" t="str">
        <f>IF(B86="","",IFERROR(VLOOKUP(B86,Produtos!$A$4:$I$13,8,FALSE),""))</f>
        <v/>
      </c>
      <c r="F86" s="4" t="str">
        <f t="shared" si="15"/>
        <v/>
      </c>
      <c r="G86" s="4" t="str">
        <f>IF(OR(B86="",D86=""),"",IFERROR(D86*VLOOKUP(B86,Produtos!$A$4:$I$13,9,FALSE),""))</f>
        <v/>
      </c>
      <c r="H86" s="4" t="str">
        <f t="shared" si="16"/>
        <v/>
      </c>
      <c r="I86" s="2"/>
      <c r="J86" s="2"/>
    </row>
    <row r="87" spans="1:10" x14ac:dyDescent="0.25">
      <c r="A87" s="5"/>
      <c r="B87" s="5"/>
      <c r="C87" s="5"/>
      <c r="D87" s="6"/>
      <c r="E87" s="7" t="str">
        <f>IF(B87="","",IFERROR(VLOOKUP(B87,Produtos!$A$4:$I$13,8,FALSE),""))</f>
        <v/>
      </c>
      <c r="F87" s="7" t="str">
        <f t="shared" si="15"/>
        <v/>
      </c>
      <c r="G87" s="7" t="str">
        <f>IF(OR(B87="",D87=""),"",IFERROR(D87*VLOOKUP(B87,Produtos!$A$4:$I$13,9,FALSE),""))</f>
        <v/>
      </c>
      <c r="H87" s="7" t="str">
        <f t="shared" si="16"/>
        <v/>
      </c>
      <c r="I87" s="5"/>
      <c r="J87" s="5"/>
    </row>
    <row r="88" spans="1:10" x14ac:dyDescent="0.25">
      <c r="A88" s="2"/>
      <c r="B88" s="2"/>
      <c r="C88" s="2"/>
      <c r="D88" s="3"/>
      <c r="E88" s="4" t="str">
        <f>IF(B88="","",IFERROR(VLOOKUP(B88,Produtos!$A$4:$I$13,8,FALSE),""))</f>
        <v/>
      </c>
      <c r="F88" s="4" t="str">
        <f t="shared" si="15"/>
        <v/>
      </c>
      <c r="G88" s="4" t="str">
        <f>IF(OR(B88="",D88=""),"",IFERROR(D88*VLOOKUP(B88,Produtos!$A$4:$I$13,9,FALSE),""))</f>
        <v/>
      </c>
      <c r="H88" s="4" t="str">
        <f t="shared" si="16"/>
        <v/>
      </c>
      <c r="I88" s="2"/>
      <c r="J88" s="2"/>
    </row>
    <row r="89" spans="1:10" x14ac:dyDescent="0.25">
      <c r="A89" s="5"/>
      <c r="B89" s="5"/>
      <c r="C89" s="5"/>
      <c r="D89" s="6"/>
      <c r="E89" s="7" t="str">
        <f>IF(B89="","",IFERROR(VLOOKUP(B89,Produtos!$A$4:$I$13,8,FALSE),""))</f>
        <v/>
      </c>
      <c r="F89" s="7" t="str">
        <f t="shared" si="15"/>
        <v/>
      </c>
      <c r="G89" s="7" t="str">
        <f>IF(OR(B89="",D89=""),"",IFERROR(D89*VLOOKUP(B89,Produtos!$A$4:$I$13,9,FALSE),""))</f>
        <v/>
      </c>
      <c r="H89" s="7" t="str">
        <f t="shared" si="16"/>
        <v/>
      </c>
      <c r="I89" s="5"/>
      <c r="J89" s="5"/>
    </row>
    <row r="90" spans="1:10" x14ac:dyDescent="0.25">
      <c r="A90" s="2"/>
      <c r="B90" s="2"/>
      <c r="C90" s="2"/>
      <c r="D90" s="3"/>
      <c r="E90" s="4" t="str">
        <f>IF(B90="","",IFERROR(VLOOKUP(B90,Produtos!$A$4:$I$13,8,FALSE),""))</f>
        <v/>
      </c>
      <c r="F90" s="4" t="str">
        <f t="shared" si="15"/>
        <v/>
      </c>
      <c r="G90" s="4" t="str">
        <f>IF(OR(B90="",D90=""),"",IFERROR(D90*VLOOKUP(B90,Produtos!$A$4:$I$13,9,FALSE),""))</f>
        <v/>
      </c>
      <c r="H90" s="4" t="str">
        <f t="shared" si="16"/>
        <v/>
      </c>
      <c r="I90" s="2"/>
      <c r="J90" s="2"/>
    </row>
    <row r="91" spans="1:10" x14ac:dyDescent="0.25">
      <c r="A91" s="5"/>
      <c r="B91" s="5"/>
      <c r="C91" s="5"/>
      <c r="D91" s="6"/>
      <c r="E91" s="7" t="str">
        <f>IF(B91="","",IFERROR(VLOOKUP(B91,Produtos!$A$4:$I$13,8,FALSE),""))</f>
        <v/>
      </c>
      <c r="F91" s="7" t="str">
        <f t="shared" si="15"/>
        <v/>
      </c>
      <c r="G91" s="7" t="str">
        <f>IF(OR(B91="",D91=""),"",IFERROR(D91*VLOOKUP(B91,Produtos!$A$4:$I$13,9,FALSE),""))</f>
        <v/>
      </c>
      <c r="H91" s="7" t="str">
        <f t="shared" si="16"/>
        <v/>
      </c>
      <c r="I91" s="5"/>
      <c r="J91" s="5"/>
    </row>
    <row r="92" spans="1:10" x14ac:dyDescent="0.25">
      <c r="A92" s="2"/>
      <c r="B92" s="2"/>
      <c r="C92" s="2"/>
      <c r="D92" s="3"/>
      <c r="E92" s="4" t="str">
        <f>IF(B92="","",IFERROR(VLOOKUP(B92,Produtos!$A$4:$I$13,8,FALSE),""))</f>
        <v/>
      </c>
      <c r="F92" s="4" t="str">
        <f t="shared" si="15"/>
        <v/>
      </c>
      <c r="G92" s="4" t="str">
        <f>IF(OR(B92="",D92=""),"",IFERROR(D92*VLOOKUP(B92,Produtos!$A$4:$I$13,9,FALSE),""))</f>
        <v/>
      </c>
      <c r="H92" s="4" t="str">
        <f t="shared" si="16"/>
        <v/>
      </c>
      <c r="I92" s="2"/>
      <c r="J92" s="2"/>
    </row>
    <row r="93" spans="1:10" x14ac:dyDescent="0.25">
      <c r="A93" s="5"/>
      <c r="B93" s="5"/>
      <c r="C93" s="5"/>
      <c r="D93" s="6"/>
      <c r="E93" s="7" t="str">
        <f>IF(B93="","",IFERROR(VLOOKUP(B93,Produtos!$A$4:$I$13,8,FALSE),""))</f>
        <v/>
      </c>
      <c r="F93" s="7" t="str">
        <f t="shared" si="15"/>
        <v/>
      </c>
      <c r="G93" s="7" t="str">
        <f>IF(OR(B93="",D93=""),"",IFERROR(D93*VLOOKUP(B93,Produtos!$A$4:$I$13,9,FALSE),""))</f>
        <v/>
      </c>
      <c r="H93" s="7" t="str">
        <f t="shared" si="16"/>
        <v/>
      </c>
      <c r="I93" s="5"/>
      <c r="J93" s="5"/>
    </row>
    <row r="94" spans="1:10" x14ac:dyDescent="0.25">
      <c r="A94" s="2"/>
      <c r="B94" s="2"/>
      <c r="C94" s="2"/>
      <c r="D94" s="3"/>
      <c r="E94" s="4" t="str">
        <f>IF(B94="","",IFERROR(VLOOKUP(B94,Produtos!$A$4:$I$13,8,FALSE),""))</f>
        <v/>
      </c>
      <c r="F94" s="4" t="str">
        <f t="shared" si="15"/>
        <v/>
      </c>
      <c r="G94" s="4" t="str">
        <f>IF(OR(B94="",D94=""),"",IFERROR(D94*VLOOKUP(B94,Produtos!$A$4:$I$13,9,FALSE),""))</f>
        <v/>
      </c>
      <c r="H94" s="4" t="str">
        <f t="shared" si="16"/>
        <v/>
      </c>
      <c r="I94" s="2"/>
      <c r="J94" s="2"/>
    </row>
    <row r="95" spans="1:10" x14ac:dyDescent="0.25">
      <c r="A95" s="5"/>
      <c r="B95" s="5"/>
      <c r="C95" s="5"/>
      <c r="D95" s="6"/>
      <c r="E95" s="7" t="str">
        <f>IF(B95="","",IFERROR(VLOOKUP(B95,Produtos!$A$4:$I$13,8,FALSE),""))</f>
        <v/>
      </c>
      <c r="F95" s="7" t="str">
        <f t="shared" si="15"/>
        <v/>
      </c>
      <c r="G95" s="7" t="str">
        <f>IF(OR(B95="",D95=""),"",IFERROR(D95*VLOOKUP(B95,Produtos!$A$4:$I$13,9,FALSE),""))</f>
        <v/>
      </c>
      <c r="H95" s="7" t="str">
        <f t="shared" si="16"/>
        <v/>
      </c>
      <c r="I95" s="5"/>
      <c r="J95" s="5"/>
    </row>
    <row r="96" spans="1:10" x14ac:dyDescent="0.25">
      <c r="A96" s="2"/>
      <c r="B96" s="2"/>
      <c r="C96" s="2"/>
      <c r="D96" s="3"/>
      <c r="E96" s="4" t="str">
        <f>IF(B96="","",IFERROR(VLOOKUP(B96,Produtos!$A$4:$I$13,8,FALSE),""))</f>
        <v/>
      </c>
      <c r="F96" s="4" t="str">
        <f t="shared" si="15"/>
        <v/>
      </c>
      <c r="G96" s="4" t="str">
        <f>IF(OR(B96="",D96=""),"",IFERROR(D96*VLOOKUP(B96,Produtos!$A$4:$I$13,9,FALSE),""))</f>
        <v/>
      </c>
      <c r="H96" s="4" t="str">
        <f t="shared" si="16"/>
        <v/>
      </c>
      <c r="I96" s="2"/>
      <c r="J96" s="2"/>
    </row>
    <row r="97" spans="1:10" x14ac:dyDescent="0.25">
      <c r="A97" s="5"/>
      <c r="B97" s="5"/>
      <c r="C97" s="5"/>
      <c r="D97" s="6"/>
      <c r="E97" s="7" t="str">
        <f>IF(B97="","",IFERROR(VLOOKUP(B97,Produtos!$A$4:$I$13,8,FALSE),""))</f>
        <v/>
      </c>
      <c r="F97" s="7" t="str">
        <f t="shared" si="15"/>
        <v/>
      </c>
      <c r="G97" s="7" t="str">
        <f>IF(OR(B97="",D97=""),"",IFERROR(D97*VLOOKUP(B97,Produtos!$A$4:$I$13,9,FALSE),""))</f>
        <v/>
      </c>
      <c r="H97" s="7" t="str">
        <f t="shared" si="16"/>
        <v/>
      </c>
      <c r="I97" s="5"/>
      <c r="J97" s="5"/>
    </row>
    <row r="98" spans="1:10" x14ac:dyDescent="0.25">
      <c r="A98" s="2"/>
      <c r="B98" s="2"/>
      <c r="C98" s="2"/>
      <c r="D98" s="3"/>
      <c r="E98" s="4" t="str">
        <f>IF(B98="","",IFERROR(VLOOKUP(B98,Produtos!$A$4:$I$13,8,FALSE),""))</f>
        <v/>
      </c>
      <c r="F98" s="4" t="str">
        <f t="shared" si="15"/>
        <v/>
      </c>
      <c r="G98" s="4" t="str">
        <f>IF(OR(B98="",D98=""),"",IFERROR(D98*VLOOKUP(B98,Produtos!$A$4:$I$13,9,FALSE),""))</f>
        <v/>
      </c>
      <c r="H98" s="4" t="str">
        <f t="shared" si="16"/>
        <v/>
      </c>
      <c r="I98" s="2"/>
      <c r="J98" s="2"/>
    </row>
    <row r="99" spans="1:10" x14ac:dyDescent="0.25">
      <c r="A99" s="5"/>
      <c r="B99" s="5"/>
      <c r="C99" s="5"/>
      <c r="D99" s="6"/>
      <c r="E99" s="7" t="str">
        <f>IF(B99="","",IFERROR(VLOOKUP(B99,Produtos!$A$4:$I$13,8,FALSE),""))</f>
        <v/>
      </c>
      <c r="F99" s="7" t="str">
        <f t="shared" si="15"/>
        <v/>
      </c>
      <c r="G99" s="7" t="str">
        <f>IF(OR(B99="",D99=""),"",IFERROR(D99*VLOOKUP(B99,Produtos!$A$4:$I$13,9,FALSE),""))</f>
        <v/>
      </c>
      <c r="H99" s="7" t="str">
        <f t="shared" si="16"/>
        <v/>
      </c>
      <c r="I99" s="5"/>
      <c r="J99" s="5"/>
    </row>
    <row r="100" spans="1:10" x14ac:dyDescent="0.25">
      <c r="A100" s="2"/>
      <c r="B100" s="2"/>
      <c r="C100" s="2"/>
      <c r="D100" s="3"/>
      <c r="E100" s="4" t="str">
        <f>IF(B100="","",IFERROR(VLOOKUP(B100,Produtos!$A$4:$I$13,8,FALSE),""))</f>
        <v/>
      </c>
      <c r="F100" s="4" t="str">
        <f t="shared" ref="F100:F104" si="17">IF(OR(D100="",E100=""),"",D100*E100)</f>
        <v/>
      </c>
      <c r="G100" s="4" t="str">
        <f>IF(OR(B100="",D100=""),"",IFERROR(D100*VLOOKUP(B100,Produtos!$A$4:$I$13,9,FALSE),""))</f>
        <v/>
      </c>
      <c r="H100" s="4" t="str">
        <f t="shared" ref="H100:H104" si="18">IF(C100="Venda",IF(OR(F100="",G100=""),"",F100-G100),"")</f>
        <v/>
      </c>
      <c r="I100" s="2"/>
      <c r="J100" s="2"/>
    </row>
    <row r="101" spans="1:10" x14ac:dyDescent="0.25">
      <c r="A101" s="5"/>
      <c r="B101" s="5"/>
      <c r="C101" s="5"/>
      <c r="D101" s="6"/>
      <c r="E101" s="7" t="str">
        <f>IF(B101="","",IFERROR(VLOOKUP(B101,Produtos!$A$4:$I$13,8,FALSE),""))</f>
        <v/>
      </c>
      <c r="F101" s="7" t="str">
        <f t="shared" si="17"/>
        <v/>
      </c>
      <c r="G101" s="7" t="str">
        <f>IF(OR(B101="",D101=""),"",IFERROR(D101*VLOOKUP(B101,Produtos!$A$4:$I$13,9,FALSE),""))</f>
        <v/>
      </c>
      <c r="H101" s="7" t="str">
        <f t="shared" si="18"/>
        <v/>
      </c>
      <c r="I101" s="5"/>
      <c r="J101" s="5"/>
    </row>
    <row r="102" spans="1:10" x14ac:dyDescent="0.25">
      <c r="A102" s="2"/>
      <c r="B102" s="2"/>
      <c r="C102" s="2"/>
      <c r="D102" s="3"/>
      <c r="E102" s="4" t="str">
        <f>IF(B102="","",IFERROR(VLOOKUP(B102,Produtos!$A$4:$I$13,8,FALSE),""))</f>
        <v/>
      </c>
      <c r="F102" s="4" t="str">
        <f t="shared" si="17"/>
        <v/>
      </c>
      <c r="G102" s="4" t="str">
        <f>IF(OR(B102="",D102=""),"",IFERROR(D102*VLOOKUP(B102,Produtos!$A$4:$I$13,9,FALSE),""))</f>
        <v/>
      </c>
      <c r="H102" s="4" t="str">
        <f t="shared" si="18"/>
        <v/>
      </c>
      <c r="I102" s="2"/>
      <c r="J102" s="2"/>
    </row>
    <row r="103" spans="1:10" x14ac:dyDescent="0.25">
      <c r="A103" s="5"/>
      <c r="B103" s="5"/>
      <c r="C103" s="5"/>
      <c r="D103" s="6"/>
      <c r="E103" s="7" t="str">
        <f>IF(B103="","",IFERROR(VLOOKUP(B103,Produtos!$A$4:$I$13,8,FALSE),""))</f>
        <v/>
      </c>
      <c r="F103" s="7" t="str">
        <f t="shared" si="17"/>
        <v/>
      </c>
      <c r="G103" s="7" t="str">
        <f>IF(OR(B103="",D103=""),"",IFERROR(D103*VLOOKUP(B103,Produtos!$A$4:$I$13,9,FALSE),""))</f>
        <v/>
      </c>
      <c r="H103" s="7" t="str">
        <f t="shared" si="18"/>
        <v/>
      </c>
      <c r="I103" s="5"/>
      <c r="J103" s="5"/>
    </row>
    <row r="104" spans="1:10" x14ac:dyDescent="0.25">
      <c r="A104" s="2"/>
      <c r="B104" s="2"/>
      <c r="C104" s="2"/>
      <c r="D104" s="3"/>
      <c r="E104" s="4" t="str">
        <f>IF(B104="","",IFERROR(VLOOKUP(B104,Produtos!$A$4:$I$13,8,FALSE),""))</f>
        <v/>
      </c>
      <c r="F104" s="4" t="str">
        <f t="shared" si="17"/>
        <v/>
      </c>
      <c r="G104" s="4" t="str">
        <f>IF(OR(B104="",D104=""),"",IFERROR(D104*VLOOKUP(B104,Produtos!$A$4:$I$13,9,FALSE),""))</f>
        <v/>
      </c>
      <c r="H104" s="4" t="str">
        <f t="shared" si="18"/>
        <v/>
      </c>
      <c r="I104" s="2"/>
      <c r="J104" s="2"/>
    </row>
  </sheetData>
  <mergeCells count="1">
    <mergeCell ref="A1:J1"/>
  </mergeCells>
  <dataValidations count="2">
    <dataValidation type="list" allowBlank="1" sqref="C4:C17 C19:C33 C35:C49 C51:C65 C67:C104" xr:uid="{00000000-0002-0000-0100-000001000000}">
      <formula1>"Venda,Entrada"</formula1>
    </dataValidation>
    <dataValidation type="list" allowBlank="1" sqref="I4:I17 I19:I33 I35:I49 I51:I65 I67:I104" xr:uid="{00000000-0002-0000-0100-000002000000}">
      <formula1>"Instagram,WhatsApp,Site,Feira,Loja,Reposição,Outro"</formula1>
    </dataValidation>
  </dataValidations>
  <pageMargins left="0.75" right="0.75" top="1" bottom="1" header="0.5" footer="0.5"/>
  <ignoredErrors>
    <ignoredError sqref="F16 F31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Produtos!$A$4:$A$13</xm:f>
          </x14:formula1>
          <xm:sqref>B4:B17 B19:B33 B35:B49 B51:B65 B67:B104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>
      <pane ySplit="3" topLeftCell="A4" activePane="bottomLeft" state="frozen"/>
      <selection pane="bottomLeft" activeCell="F18" sqref="F18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5" width="16" customWidth="1"/>
    <col min="6" max="6" width="15" customWidth="1"/>
    <col min="7" max="7" width="12" customWidth="1"/>
    <col min="8" max="8" width="18" customWidth="1"/>
    <col min="10" max="10" width="18" customWidth="1"/>
    <col min="11" max="11" width="16" customWidth="1"/>
  </cols>
  <sheetData>
    <row r="1" spans="1:10" ht="19.5" x14ac:dyDescent="0.25">
      <c r="A1" s="28" t="s">
        <v>35</v>
      </c>
      <c r="B1" s="29"/>
      <c r="C1" s="29"/>
      <c r="D1" s="29"/>
      <c r="E1" s="29"/>
      <c r="F1" s="29"/>
      <c r="G1" s="29"/>
      <c r="H1" s="29"/>
    </row>
    <row r="3" spans="1:10" ht="30" x14ac:dyDescent="0.25">
      <c r="A3" s="1" t="s">
        <v>36</v>
      </c>
      <c r="B3" s="1" t="s">
        <v>37</v>
      </c>
      <c r="C3" s="1" t="s">
        <v>38</v>
      </c>
      <c r="D3" s="1" t="s">
        <v>23</v>
      </c>
      <c r="E3" s="1" t="s">
        <v>39</v>
      </c>
      <c r="F3" s="1" t="s">
        <v>40</v>
      </c>
      <c r="G3" s="1" t="s">
        <v>41</v>
      </c>
      <c r="H3" s="1" t="s">
        <v>42</v>
      </c>
      <c r="J3" s="11" t="s">
        <v>43</v>
      </c>
    </row>
    <row r="4" spans="1:10" ht="18.75" x14ac:dyDescent="0.3">
      <c r="A4" s="2" t="s">
        <v>29</v>
      </c>
      <c r="B4" s="4">
        <f>SUMIFS('Vendas diárias'!$F:$F,'Vendas diárias'!$I:$I,$A4,'Vendas diárias'!$C:$C,"Venda")</f>
        <v>0</v>
      </c>
      <c r="C4" s="2">
        <f>SUMIFS('Vendas diárias'!$D:$D,'Vendas diárias'!$I:$I,$A4,'Vendas diárias'!$C:$C,"Venda")</f>
        <v>0</v>
      </c>
      <c r="D4" s="4">
        <f>SUMIFS('Vendas diárias'!$H:$H,'Vendas diárias'!$I:$I,$A4)</f>
        <v>0</v>
      </c>
      <c r="E4" s="4">
        <f>IFERROR(B4/COUNTIFS('Vendas diárias'!$I:$I,$A4,'Vendas diárias'!$C:$C,"Venda"),0)</f>
        <v>0</v>
      </c>
      <c r="F4" s="4">
        <v>1000</v>
      </c>
      <c r="G4" s="15">
        <f t="shared" ref="G4:G10" si="0">IFERROR(B4/F4,0)</f>
        <v>0</v>
      </c>
      <c r="H4" s="2"/>
      <c r="J4" s="16">
        <f>SUMIFS('Vendas diárias'!F:F,'Vendas diárias'!C:C,"Venda")</f>
        <v>2052.6999999999998</v>
      </c>
    </row>
    <row r="5" spans="1:10" x14ac:dyDescent="0.25">
      <c r="A5" s="5" t="s">
        <v>31</v>
      </c>
      <c r="B5" s="7">
        <f>SUMIFS('Vendas diárias'!$F:$F,'Vendas diárias'!$I:$I,$A5,'Vendas diárias'!$C:$C,"Venda")</f>
        <v>0</v>
      </c>
      <c r="C5" s="5">
        <f>SUMIFS('Vendas diárias'!$D:$D,'Vendas diárias'!$I:$I,$A5,'Vendas diárias'!$C:$C,"Venda")</f>
        <v>0</v>
      </c>
      <c r="D5" s="7">
        <f>SUMIFS('Vendas diárias'!$H:$H,'Vendas diárias'!$I:$I,$A5)</f>
        <v>0</v>
      </c>
      <c r="E5" s="7">
        <f>IFERROR(B5/COUNTIFS('Vendas diárias'!$I:$I,$A5,'Vendas diárias'!$C:$C,"Venda"),0)</f>
        <v>0</v>
      </c>
      <c r="F5" s="7">
        <v>1000</v>
      </c>
      <c r="G5" s="17">
        <f t="shared" si="0"/>
        <v>0</v>
      </c>
      <c r="H5" s="5"/>
      <c r="J5" s="11" t="s">
        <v>44</v>
      </c>
    </row>
    <row r="6" spans="1:10" ht="18.75" x14ac:dyDescent="0.3">
      <c r="A6" s="2" t="s">
        <v>45</v>
      </c>
      <c r="B6" s="4">
        <f>SUMIFS('Vendas diárias'!$F:$F,'Vendas diárias'!$I:$I,$A6,'Vendas diárias'!$C:$C,"Venda")</f>
        <v>0</v>
      </c>
      <c r="C6" s="2">
        <f>SUMIFS('Vendas diárias'!$D:$D,'Vendas diárias'!$I:$I,$A6,'Vendas diárias'!$C:$C,"Venda")</f>
        <v>0</v>
      </c>
      <c r="D6" s="4">
        <f>SUMIFS('Vendas diárias'!$H:$H,'Vendas diárias'!$I:$I,$A6)</f>
        <v>0</v>
      </c>
      <c r="E6" s="4">
        <f>IFERROR(B6/COUNTIFS('Vendas diárias'!$I:$I,$A6,'Vendas diárias'!$C:$C,"Venda"),0)</f>
        <v>0</v>
      </c>
      <c r="F6" s="4">
        <v>1000</v>
      </c>
      <c r="G6" s="15">
        <f t="shared" si="0"/>
        <v>0</v>
      </c>
      <c r="H6" s="2"/>
      <c r="J6" s="16">
        <f>SUM('Vendas diárias'!H:H)</f>
        <v>993.99</v>
      </c>
    </row>
    <row r="7" spans="1:10" x14ac:dyDescent="0.25">
      <c r="A7" s="5" t="s">
        <v>33</v>
      </c>
      <c r="B7" s="7">
        <f>SUMIFS('Vendas diárias'!$F:$F,'Vendas diárias'!$I:$I,$A7,'Vendas diárias'!$C:$C,"Venda")</f>
        <v>0</v>
      </c>
      <c r="C7" s="5">
        <f>SUMIFS('Vendas diárias'!$D:$D,'Vendas diárias'!$I:$I,$A7,'Vendas diárias'!$C:$C,"Venda")</f>
        <v>0</v>
      </c>
      <c r="D7" s="7">
        <f>SUMIFS('Vendas diárias'!$H:$H,'Vendas diárias'!$I:$I,$A7)</f>
        <v>0</v>
      </c>
      <c r="E7" s="7">
        <f>IFERROR(B7/COUNTIFS('Vendas diárias'!$I:$I,$A7,'Vendas diárias'!$C:$C,"Venda"),0)</f>
        <v>0</v>
      </c>
      <c r="F7" s="7">
        <v>1000</v>
      </c>
      <c r="G7" s="17">
        <f t="shared" si="0"/>
        <v>0</v>
      </c>
      <c r="H7" s="5"/>
      <c r="J7" s="11" t="s">
        <v>46</v>
      </c>
    </row>
    <row r="8" spans="1:10" ht="18.75" x14ac:dyDescent="0.3">
      <c r="A8" s="2" t="s">
        <v>47</v>
      </c>
      <c r="B8" s="4">
        <f>SUMIFS('Vendas diárias'!$F:$F,'Vendas diárias'!$I:$I,$A8,'Vendas diárias'!$C:$C,"Venda")</f>
        <v>2052.6999999999998</v>
      </c>
      <c r="C8" s="2">
        <f>SUMIFS('Vendas diárias'!$D:$D,'Vendas diárias'!$I:$I,$A8,'Vendas diárias'!$C:$C,"Venda")</f>
        <v>24</v>
      </c>
      <c r="D8" s="4">
        <f>SUMIFS('Vendas diárias'!$H:$H,'Vendas diárias'!$I:$I,$A8)</f>
        <v>993.99</v>
      </c>
      <c r="E8" s="4">
        <f>IFERROR(B8/COUNTIFS('Vendas diárias'!$I:$I,$A8,'Vendas diárias'!$C:$C,"Venda"),0)</f>
        <v>34.211666666666666</v>
      </c>
      <c r="F8" s="4">
        <v>1000</v>
      </c>
      <c r="G8" s="15">
        <f t="shared" si="0"/>
        <v>2.0526999999999997</v>
      </c>
      <c r="H8" s="2"/>
      <c r="J8" s="16">
        <f>IFERROR(SUMIFS('Vendas diárias'!F:F,'Vendas diárias'!C:C,"Venda")/COUNTIFS('Vendas diárias'!C:C,"Venda"),0)</f>
        <v>34.211666666666666</v>
      </c>
    </row>
    <row r="9" spans="1:10" x14ac:dyDescent="0.25">
      <c r="A9" s="5" t="s">
        <v>48</v>
      </c>
      <c r="B9" s="7">
        <f>SUMIFS('Vendas diárias'!$F:$F,'Vendas diárias'!$I:$I,$A9,'Vendas diárias'!$C:$C,"Venda")</f>
        <v>0</v>
      </c>
      <c r="C9" s="5">
        <f>SUMIFS('Vendas diárias'!$D:$D,'Vendas diárias'!$I:$I,$A9,'Vendas diárias'!$C:$C,"Venda")</f>
        <v>0</v>
      </c>
      <c r="D9" s="7">
        <f>SUMIFS('Vendas diárias'!$H:$H,'Vendas diárias'!$I:$I,$A9)</f>
        <v>0</v>
      </c>
      <c r="E9" s="7">
        <f>IFERROR(B9/COUNTIFS('Vendas diárias'!$I:$I,$A9,'Vendas diárias'!$C:$C,"Venda"),0)</f>
        <v>0</v>
      </c>
      <c r="F9" s="7">
        <v>1000</v>
      </c>
      <c r="G9" s="17">
        <f t="shared" si="0"/>
        <v>0</v>
      </c>
      <c r="H9" s="5"/>
      <c r="J9" s="11" t="s">
        <v>49</v>
      </c>
    </row>
    <row r="10" spans="1:10" ht="18.75" x14ac:dyDescent="0.3">
      <c r="A10" s="12" t="s">
        <v>16</v>
      </c>
      <c r="B10" s="18">
        <f>SUM(B4:B9)</f>
        <v>2052.6999999999998</v>
      </c>
      <c r="C10" s="12">
        <f>SUM(C4:C9)</f>
        <v>24</v>
      </c>
      <c r="D10" s="18">
        <f>SUM(D4:D9)</f>
        <v>993.99</v>
      </c>
      <c r="E10" s="18">
        <f>IFERROR(B10/COUNTIFS('Vendas diárias'!$C:$C,"Venda"),0)</f>
        <v>34.211666666666666</v>
      </c>
      <c r="F10" s="18">
        <f>SUM(F4:F9)</f>
        <v>6000</v>
      </c>
      <c r="G10" s="19">
        <f t="shared" si="0"/>
        <v>0.34211666666666662</v>
      </c>
      <c r="H10" s="12"/>
      <c r="J10" s="20">
        <f>COUNTIF(Produtos!M4:M13,"REPOR")</f>
        <v>2</v>
      </c>
    </row>
  </sheetData>
  <mergeCells count="1">
    <mergeCell ref="A1:H1"/>
  </mergeCell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>
      <selection activeCell="E19" sqref="E19"/>
    </sheetView>
  </sheetViews>
  <sheetFormatPr defaultRowHeight="15" x14ac:dyDescent="0.25"/>
  <cols>
    <col min="1" max="1" width="28" customWidth="1"/>
    <col min="2" max="2" width="13" customWidth="1"/>
    <col min="3" max="3" width="23.7109375" customWidth="1"/>
    <col min="4" max="5" width="15" customWidth="1"/>
    <col min="7" max="7" width="40" customWidth="1"/>
  </cols>
  <sheetData>
    <row r="1" spans="1:8" ht="19.5" x14ac:dyDescent="0.25">
      <c r="A1" s="28" t="s">
        <v>50</v>
      </c>
      <c r="B1" s="29"/>
      <c r="C1" s="29"/>
      <c r="D1" s="29"/>
      <c r="E1" s="29"/>
      <c r="F1" s="29"/>
      <c r="G1" s="29"/>
      <c r="H1" s="29"/>
    </row>
    <row r="3" spans="1:8" x14ac:dyDescent="0.25">
      <c r="A3" s="11" t="s">
        <v>43</v>
      </c>
      <c r="C3" s="11" t="s">
        <v>51</v>
      </c>
      <c r="E3" s="11" t="s">
        <v>38</v>
      </c>
      <c r="G3" s="11" t="s">
        <v>52</v>
      </c>
    </row>
    <row r="4" spans="1:8" ht="19.5" x14ac:dyDescent="0.3">
      <c r="A4" s="21">
        <f>SUMIFS('Vendas diárias'!F:F,'Vendas diárias'!C:C,"Venda")</f>
        <v>2052.6999999999998</v>
      </c>
      <c r="C4" s="21">
        <f>SUM('Vendas diárias'!H:H)</f>
        <v>993.99</v>
      </c>
      <c r="E4" s="22">
        <f>SUMIFS('Vendas diárias'!D:D,'Vendas diárias'!C:C,"Venda")</f>
        <v>24</v>
      </c>
      <c r="G4" s="21">
        <f>Produtos!K16</f>
        <v>99595.5</v>
      </c>
    </row>
    <row r="6" spans="1:8" x14ac:dyDescent="0.25">
      <c r="A6" s="11" t="s">
        <v>49</v>
      </c>
      <c r="C6" s="11" t="s">
        <v>53</v>
      </c>
      <c r="E6" s="11" t="s">
        <v>54</v>
      </c>
      <c r="G6" s="11" t="s">
        <v>55</v>
      </c>
    </row>
    <row r="7" spans="1:8" ht="18.75" x14ac:dyDescent="0.3">
      <c r="A7" s="23">
        <f>COUNTIF(Produtos!M4:M13,"REPOR")</f>
        <v>2</v>
      </c>
      <c r="C7" s="24" t="str">
        <f>INDEX(Financeiro!A4:A9,MATCH(MAX(Financeiro!B4:B9),Financeiro!B4:B9,0))</f>
        <v>Loja</v>
      </c>
      <c r="E7" s="25">
        <f>IFERROR(SUMIFS('Vendas diárias'!F:F,'Vendas diárias'!C:C,"Venda")/COUNTIFS('Vendas diárias'!C:C,"Venda"),0)</f>
        <v>34.211666666666666</v>
      </c>
      <c r="G7" s="25">
        <f>SUM('Vendas diárias'!G:G)</f>
        <v>628.71</v>
      </c>
    </row>
    <row r="10" spans="1:8" x14ac:dyDescent="0.25">
      <c r="A10" s="11" t="s">
        <v>56</v>
      </c>
      <c r="G10" s="11" t="s">
        <v>57</v>
      </c>
    </row>
    <row r="11" spans="1:8" ht="30" x14ac:dyDescent="0.25">
      <c r="A11" s="1" t="s">
        <v>1</v>
      </c>
      <c r="B11" s="1" t="s">
        <v>6</v>
      </c>
      <c r="C11" s="1" t="s">
        <v>11</v>
      </c>
      <c r="D11" s="1" t="s">
        <v>58</v>
      </c>
      <c r="E11" s="1" t="s">
        <v>59</v>
      </c>
      <c r="G11" t="s">
        <v>60</v>
      </c>
    </row>
    <row r="12" spans="1:8" x14ac:dyDescent="0.25">
      <c r="A12" s="2" t="str">
        <f>Produtos!A4</f>
        <v>DIFUSOR NARDO</v>
      </c>
      <c r="B12" s="2">
        <f>Produtos!G4</f>
        <v>171</v>
      </c>
      <c r="C12" s="2" t="str">
        <f>Produtos!M4</f>
        <v>OK</v>
      </c>
      <c r="D12" s="4">
        <f>Produtos!H4</f>
        <v>159.9</v>
      </c>
      <c r="E12" s="4">
        <f>Produtos!I4</f>
        <v>63.64</v>
      </c>
      <c r="G12" t="s">
        <v>61</v>
      </c>
    </row>
    <row r="13" spans="1:8" x14ac:dyDescent="0.25">
      <c r="A13" s="5" t="str">
        <f>Produtos!A5</f>
        <v>DIFUSOR ACACIA</v>
      </c>
      <c r="B13" s="5">
        <f>Produtos!G5</f>
        <v>97</v>
      </c>
      <c r="C13" s="5" t="str">
        <f>Produtos!M5</f>
        <v>OK</v>
      </c>
      <c r="D13" s="7">
        <f>Produtos!H5</f>
        <v>159.9</v>
      </c>
      <c r="E13" s="7">
        <f>Produtos!I5</f>
        <v>63.64</v>
      </c>
      <c r="G13" t="s">
        <v>62</v>
      </c>
    </row>
    <row r="14" spans="1:8" x14ac:dyDescent="0.25">
      <c r="A14" s="2" t="str">
        <f>Produtos!A6</f>
        <v>SABONETE NARDO</v>
      </c>
      <c r="B14" s="2">
        <f>Produtos!G6</f>
        <v>165</v>
      </c>
      <c r="C14" s="2" t="str">
        <f>Produtos!M6</f>
        <v>OK</v>
      </c>
      <c r="D14" s="4">
        <f>Produtos!H6</f>
        <v>129.9</v>
      </c>
      <c r="E14" s="4">
        <f>Produtos!I6</f>
        <v>47.73</v>
      </c>
      <c r="G14" t="s">
        <v>63</v>
      </c>
    </row>
    <row r="15" spans="1:8" x14ac:dyDescent="0.25">
      <c r="A15" s="5" t="str">
        <f>Produtos!A7</f>
        <v>SABONETE ACÁCIA</v>
      </c>
      <c r="B15" s="5">
        <f>Produtos!G7</f>
        <v>187</v>
      </c>
      <c r="C15" s="5" t="str">
        <f>Produtos!M7</f>
        <v>OK</v>
      </c>
      <c r="D15" s="7">
        <f>Produtos!H7</f>
        <v>129.9</v>
      </c>
      <c r="E15" s="7">
        <f>Produtos!I7</f>
        <v>47.73</v>
      </c>
    </row>
    <row r="16" spans="1:8" x14ac:dyDescent="0.25">
      <c r="A16" s="2" t="str">
        <f>Produtos!A8</f>
        <v xml:space="preserve">HOME SPRAY AMENDOA </v>
      </c>
      <c r="B16" s="2">
        <f>Produtos!G8</f>
        <v>33</v>
      </c>
      <c r="C16" s="2" t="str">
        <f>Produtos!M8</f>
        <v>OK</v>
      </c>
      <c r="D16" s="4">
        <f>Produtos!H8</f>
        <v>55.5</v>
      </c>
      <c r="E16" s="4">
        <f>Produtos!I8</f>
        <v>21.99</v>
      </c>
    </row>
    <row r="17" spans="1:5" x14ac:dyDescent="0.25">
      <c r="A17" s="5" t="str">
        <f>Produtos!A9</f>
        <v>HOME SPRAY SANDALO</v>
      </c>
      <c r="B17" s="5">
        <f>Produtos!G9</f>
        <v>16</v>
      </c>
      <c r="C17" s="5" t="str">
        <f>Produtos!M9</f>
        <v>OK</v>
      </c>
      <c r="D17" s="7">
        <f>Produtos!H9</f>
        <v>55.5</v>
      </c>
      <c r="E17" s="7">
        <f>Produtos!I9</f>
        <v>21.99</v>
      </c>
    </row>
    <row r="18" spans="1:5" x14ac:dyDescent="0.25">
      <c r="A18" s="2" t="str">
        <f>Produtos!A10</f>
        <v>BODY SPLASH FIGO</v>
      </c>
      <c r="B18" s="2">
        <f>Produtos!G10</f>
        <v>49</v>
      </c>
      <c r="C18" s="2" t="str">
        <f>Produtos!M10</f>
        <v>OK</v>
      </c>
      <c r="D18" s="4">
        <f>Produtos!H10</f>
        <v>79</v>
      </c>
      <c r="E18" s="4">
        <f>Produtos!I10</f>
        <v>28.68</v>
      </c>
    </row>
    <row r="19" spans="1:5" x14ac:dyDescent="0.25">
      <c r="A19" s="5" t="str">
        <f>Produtos!A11</f>
        <v>BODY SPLASH ROMÃ</v>
      </c>
      <c r="B19" s="5">
        <f>Produtos!G11</f>
        <v>45</v>
      </c>
      <c r="C19" s="5" t="str">
        <f>Produtos!M11</f>
        <v>OK</v>
      </c>
      <c r="D19" s="7">
        <f>Produtos!H11</f>
        <v>79</v>
      </c>
      <c r="E19" s="7">
        <f>Produtos!I11</f>
        <v>28.68</v>
      </c>
    </row>
    <row r="20" spans="1:5" x14ac:dyDescent="0.25">
      <c r="A20" s="2" t="str">
        <f>Produtos!A12</f>
        <v>REFIL SABONETE NARDO</v>
      </c>
      <c r="B20" s="2">
        <f>Produtos!G12</f>
        <v>2</v>
      </c>
      <c r="C20" s="2" t="str">
        <f>Produtos!M12</f>
        <v>REPOR</v>
      </c>
      <c r="D20" s="4">
        <f>Produtos!H12</f>
        <v>46</v>
      </c>
      <c r="E20" s="4">
        <f>Produtos!I12</f>
        <v>33.880000000000003</v>
      </c>
    </row>
    <row r="21" spans="1:5" x14ac:dyDescent="0.25">
      <c r="A21" s="5" t="str">
        <f>Produtos!A13</f>
        <v>REFIL SABONETE ACÁCIA</v>
      </c>
      <c r="B21" s="5">
        <f>Produtos!G13</f>
        <v>2</v>
      </c>
      <c r="C21" s="5" t="str">
        <f>Produtos!M13</f>
        <v>REPOR</v>
      </c>
      <c r="D21" s="7">
        <f>Produtos!H13</f>
        <v>46</v>
      </c>
      <c r="E21" s="7">
        <f>Produtos!I13</f>
        <v>33.880000000000003</v>
      </c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6094-CF2E-4657-887B-A772E7B38020}">
  <dimension ref="A1:F42"/>
  <sheetViews>
    <sheetView topLeftCell="A19" workbookViewId="0">
      <selection activeCell="D9" sqref="D9"/>
    </sheetView>
  </sheetViews>
  <sheetFormatPr defaultRowHeight="15" x14ac:dyDescent="0.25"/>
  <cols>
    <col min="1" max="1" width="23.140625" customWidth="1"/>
    <col min="2" max="2" width="20" customWidth="1"/>
    <col min="3" max="3" width="17.7109375" customWidth="1"/>
    <col min="4" max="4" width="20.5703125" customWidth="1"/>
    <col min="5" max="5" width="11.5703125" customWidth="1"/>
    <col min="6" max="6" width="20.7109375" bestFit="1" customWidth="1"/>
  </cols>
  <sheetData>
    <row r="1" spans="1:5" x14ac:dyDescent="0.25">
      <c r="A1" s="56" t="s">
        <v>78</v>
      </c>
      <c r="B1" s="56" t="s">
        <v>146</v>
      </c>
      <c r="C1" s="56" t="s">
        <v>147</v>
      </c>
      <c r="D1" s="56" t="s">
        <v>79</v>
      </c>
      <c r="E1" s="35"/>
    </row>
    <row r="2" spans="1:5" x14ac:dyDescent="0.25">
      <c r="A2" s="57">
        <v>46081</v>
      </c>
      <c r="B2" s="42">
        <v>341</v>
      </c>
      <c r="C2" s="35"/>
      <c r="D2" s="42"/>
      <c r="E2" s="35"/>
    </row>
    <row r="3" spans="1:5" x14ac:dyDescent="0.25">
      <c r="A3" s="57">
        <v>46084</v>
      </c>
      <c r="B3" s="42">
        <v>1036</v>
      </c>
      <c r="C3" s="35"/>
      <c r="D3" s="58">
        <v>0</v>
      </c>
      <c r="E3" s="35"/>
    </row>
    <row r="4" spans="1:5" x14ac:dyDescent="0.25">
      <c r="A4" s="57">
        <v>46086</v>
      </c>
      <c r="B4" s="42">
        <f>80*2</f>
        <v>160</v>
      </c>
      <c r="C4" s="35"/>
      <c r="D4" s="58"/>
      <c r="E4" s="35"/>
    </row>
    <row r="5" spans="1:5" x14ac:dyDescent="0.25">
      <c r="A5" s="57">
        <v>46087</v>
      </c>
      <c r="B5" s="42">
        <v>129.9</v>
      </c>
      <c r="C5" s="35"/>
      <c r="D5" s="58"/>
      <c r="E5" s="35"/>
    </row>
    <row r="6" spans="1:5" x14ac:dyDescent="0.25">
      <c r="A6" s="57">
        <v>46091</v>
      </c>
      <c r="B6" s="42">
        <v>341</v>
      </c>
      <c r="C6" s="35"/>
      <c r="D6" s="42"/>
      <c r="E6" s="35"/>
    </row>
    <row r="7" spans="1:5" x14ac:dyDescent="0.25">
      <c r="A7" s="57">
        <v>46094</v>
      </c>
      <c r="B7" s="59">
        <v>812.4</v>
      </c>
      <c r="C7" s="35" t="s">
        <v>141</v>
      </c>
      <c r="D7" s="60">
        <v>524</v>
      </c>
      <c r="E7" s="61">
        <v>46107</v>
      </c>
    </row>
    <row r="8" spans="1:5" x14ac:dyDescent="0.25">
      <c r="A8" s="57">
        <v>46109</v>
      </c>
      <c r="B8" s="42">
        <v>812.4</v>
      </c>
      <c r="C8" s="35" t="s">
        <v>141</v>
      </c>
      <c r="D8" s="42">
        <f>SUM(D7+B8)</f>
        <v>1336.4</v>
      </c>
      <c r="E8" s="61">
        <v>46109</v>
      </c>
    </row>
    <row r="9" spans="1:5" x14ac:dyDescent="0.25">
      <c r="A9" s="57">
        <v>46113</v>
      </c>
      <c r="B9" s="42">
        <v>129.9</v>
      </c>
      <c r="C9" s="35" t="s">
        <v>143</v>
      </c>
      <c r="D9" s="42">
        <f>SUM(D8+B9)</f>
        <v>1466.3000000000002</v>
      </c>
      <c r="E9" s="61">
        <v>46113</v>
      </c>
    </row>
    <row r="10" spans="1:5" x14ac:dyDescent="0.25">
      <c r="A10" s="57">
        <v>46113</v>
      </c>
      <c r="B10" s="42">
        <v>1735.2</v>
      </c>
      <c r="C10" s="35" t="s">
        <v>145</v>
      </c>
      <c r="D10" s="41">
        <f>SUM(D7+B8+B9+B10)</f>
        <v>3201.5</v>
      </c>
      <c r="E10" s="61">
        <v>46113</v>
      </c>
    </row>
    <row r="11" spans="1:5" x14ac:dyDescent="0.25">
      <c r="A11" s="57">
        <v>46126</v>
      </c>
      <c r="B11" s="42">
        <v>812.4</v>
      </c>
      <c r="C11" s="35" t="s">
        <v>141</v>
      </c>
      <c r="D11" s="42">
        <f>SUM(D10+B11)</f>
        <v>4013.9</v>
      </c>
      <c r="E11" s="61">
        <v>46126</v>
      </c>
    </row>
    <row r="12" spans="1:5" x14ac:dyDescent="0.25">
      <c r="A12" s="57">
        <v>46130</v>
      </c>
      <c r="B12" s="42">
        <v>395.69</v>
      </c>
      <c r="C12" s="35" t="s">
        <v>142</v>
      </c>
      <c r="D12" s="41">
        <f>SUM(D11+B12)</f>
        <v>4409.59</v>
      </c>
      <c r="E12" s="61">
        <v>46130</v>
      </c>
    </row>
    <row r="13" spans="1:5" x14ac:dyDescent="0.25">
      <c r="A13" s="57">
        <v>46145</v>
      </c>
      <c r="B13" s="42">
        <v>395.69</v>
      </c>
      <c r="C13" s="35" t="s">
        <v>142</v>
      </c>
      <c r="D13" s="42">
        <f>SUM(D12+B13)</f>
        <v>4805.28</v>
      </c>
      <c r="E13" s="61">
        <v>46145</v>
      </c>
    </row>
    <row r="14" spans="1:5" x14ac:dyDescent="0.25">
      <c r="A14" s="57">
        <v>46160</v>
      </c>
      <c r="B14" s="42">
        <v>395.69</v>
      </c>
      <c r="C14" s="35" t="s">
        <v>142</v>
      </c>
      <c r="D14" s="41">
        <f>SUM(D13+B14)</f>
        <v>5200.9699999999993</v>
      </c>
      <c r="E14" s="61">
        <v>46160</v>
      </c>
    </row>
    <row r="15" spans="1:5" x14ac:dyDescent="0.25">
      <c r="D15" s="31"/>
    </row>
    <row r="19" spans="1:6" x14ac:dyDescent="0.25">
      <c r="A19" s="35"/>
      <c r="B19" s="35" t="s">
        <v>114</v>
      </c>
      <c r="C19" s="35" t="s">
        <v>115</v>
      </c>
      <c r="D19" s="35" t="s">
        <v>116</v>
      </c>
      <c r="E19" s="35" t="s">
        <v>117</v>
      </c>
      <c r="F19" s="51"/>
    </row>
    <row r="20" spans="1:6" x14ac:dyDescent="0.25">
      <c r="A20" s="35" t="s">
        <v>118</v>
      </c>
      <c r="B20" s="35" t="s">
        <v>119</v>
      </c>
      <c r="C20" s="35"/>
      <c r="D20" s="42">
        <v>79</v>
      </c>
      <c r="E20" s="35"/>
      <c r="F20" s="51"/>
    </row>
    <row r="21" spans="1:6" x14ac:dyDescent="0.25">
      <c r="A21" s="35" t="s">
        <v>120</v>
      </c>
      <c r="B21" s="35" t="s">
        <v>119</v>
      </c>
      <c r="C21" s="35"/>
      <c r="D21" s="42">
        <v>79</v>
      </c>
      <c r="E21" s="35"/>
      <c r="F21" s="51"/>
    </row>
    <row r="22" spans="1:6" x14ac:dyDescent="0.25">
      <c r="A22" s="35" t="s">
        <v>121</v>
      </c>
      <c r="B22" s="35" t="s">
        <v>119</v>
      </c>
      <c r="C22" s="35"/>
      <c r="D22" s="42">
        <v>79</v>
      </c>
      <c r="E22" s="35"/>
      <c r="F22" s="51"/>
    </row>
    <row r="23" spans="1:6" x14ac:dyDescent="0.25">
      <c r="A23" s="35" t="s">
        <v>122</v>
      </c>
      <c r="B23" s="35" t="s">
        <v>119</v>
      </c>
      <c r="C23" s="35" t="s">
        <v>119</v>
      </c>
      <c r="D23" s="35"/>
      <c r="E23" s="42">
        <v>148</v>
      </c>
      <c r="F23" s="35" t="s">
        <v>123</v>
      </c>
    </row>
    <row r="24" spans="1:6" x14ac:dyDescent="0.25">
      <c r="A24" s="51" t="s">
        <v>124</v>
      </c>
      <c r="B24" s="51"/>
      <c r="C24" s="51"/>
      <c r="D24" s="51"/>
      <c r="E24" s="52">
        <v>172</v>
      </c>
      <c r="F24" s="51" t="s">
        <v>125</v>
      </c>
    </row>
    <row r="25" spans="1:6" x14ac:dyDescent="0.25">
      <c r="A25" s="53" t="s">
        <v>126</v>
      </c>
      <c r="B25" s="53"/>
      <c r="C25" s="53"/>
      <c r="D25" s="53"/>
      <c r="E25" s="54">
        <v>159.9</v>
      </c>
      <c r="F25" s="53" t="s">
        <v>127</v>
      </c>
    </row>
    <row r="26" spans="1:6" x14ac:dyDescent="0.25">
      <c r="A26" s="35" t="s">
        <v>80</v>
      </c>
      <c r="B26" s="35" t="s">
        <v>119</v>
      </c>
      <c r="C26" s="35" t="s">
        <v>119</v>
      </c>
      <c r="D26" s="42">
        <v>148</v>
      </c>
      <c r="E26" s="35"/>
      <c r="F26" s="51"/>
    </row>
    <row r="27" spans="1:6" x14ac:dyDescent="0.25">
      <c r="A27" s="35" t="s">
        <v>80</v>
      </c>
      <c r="B27" s="35" t="s">
        <v>119</v>
      </c>
      <c r="C27" s="35" t="s">
        <v>119</v>
      </c>
      <c r="D27" s="42">
        <v>148</v>
      </c>
      <c r="E27" s="42">
        <v>0</v>
      </c>
      <c r="F27" s="51"/>
    </row>
    <row r="28" spans="1:6" x14ac:dyDescent="0.25">
      <c r="A28" s="35" t="s">
        <v>128</v>
      </c>
      <c r="B28" s="35"/>
      <c r="C28" s="35" t="s">
        <v>119</v>
      </c>
      <c r="D28" s="42">
        <v>79</v>
      </c>
      <c r="E28" s="35"/>
      <c r="F28" s="51"/>
    </row>
    <row r="29" spans="1:6" x14ac:dyDescent="0.25">
      <c r="A29" s="35" t="s">
        <v>129</v>
      </c>
      <c r="B29" s="35" t="s">
        <v>119</v>
      </c>
      <c r="C29" s="35" t="s">
        <v>119</v>
      </c>
      <c r="D29" s="42">
        <v>148</v>
      </c>
      <c r="E29" s="42">
        <v>0</v>
      </c>
      <c r="F29" s="35" t="s">
        <v>130</v>
      </c>
    </row>
    <row r="30" spans="1:6" x14ac:dyDescent="0.25">
      <c r="A30" s="35" t="s">
        <v>81</v>
      </c>
      <c r="B30" s="35" t="s">
        <v>119</v>
      </c>
      <c r="C30" s="35" t="s">
        <v>119</v>
      </c>
      <c r="D30" s="42"/>
      <c r="E30" s="42">
        <v>148</v>
      </c>
      <c r="F30" s="35" t="s">
        <v>131</v>
      </c>
    </row>
    <row r="31" spans="1:6" x14ac:dyDescent="0.25">
      <c r="A31" s="35" t="s">
        <v>132</v>
      </c>
      <c r="B31" s="35"/>
      <c r="C31" s="35"/>
      <c r="D31" s="42">
        <v>129.9</v>
      </c>
      <c r="E31" s="42">
        <v>0</v>
      </c>
      <c r="F31" s="35"/>
    </row>
    <row r="32" spans="1:6" x14ac:dyDescent="0.25">
      <c r="A32" s="35" t="s">
        <v>133</v>
      </c>
      <c r="B32" s="35"/>
      <c r="C32" s="35"/>
      <c r="D32" s="42"/>
      <c r="E32" s="42">
        <v>86</v>
      </c>
      <c r="F32" s="35" t="s">
        <v>134</v>
      </c>
    </row>
    <row r="33" spans="1:6" x14ac:dyDescent="0.25">
      <c r="A33" s="51" t="s">
        <v>135</v>
      </c>
      <c r="B33" s="51"/>
      <c r="C33" s="51"/>
      <c r="D33" s="52">
        <v>172</v>
      </c>
      <c r="E33" s="52">
        <v>0</v>
      </c>
      <c r="F33" s="51"/>
    </row>
    <row r="34" spans="1:6" x14ac:dyDescent="0.25">
      <c r="A34" s="51" t="s">
        <v>136</v>
      </c>
      <c r="B34" s="51"/>
      <c r="C34" s="51"/>
      <c r="D34" s="52"/>
      <c r="E34" s="52">
        <v>159.9</v>
      </c>
      <c r="F34" s="51" t="s">
        <v>127</v>
      </c>
    </row>
    <row r="35" spans="1:6" x14ac:dyDescent="0.25">
      <c r="A35" s="51" t="s">
        <v>137</v>
      </c>
      <c r="B35" s="51"/>
      <c r="C35" s="51"/>
      <c r="D35" s="52"/>
      <c r="E35" s="52">
        <v>86</v>
      </c>
      <c r="F35" s="51" t="s">
        <v>127</v>
      </c>
    </row>
    <row r="36" spans="1:6" x14ac:dyDescent="0.25">
      <c r="A36" s="51"/>
      <c r="B36" s="51"/>
      <c r="C36" s="51"/>
      <c r="D36" s="52"/>
      <c r="E36" s="52"/>
      <c r="F36" s="51"/>
    </row>
    <row r="37" spans="1:6" x14ac:dyDescent="0.25">
      <c r="A37" s="51" t="s">
        <v>144</v>
      </c>
      <c r="B37" s="51"/>
      <c r="C37" s="51"/>
      <c r="D37" s="52"/>
      <c r="E37" s="52">
        <v>324.89999999999998</v>
      </c>
      <c r="F37" s="51"/>
    </row>
    <row r="38" spans="1:6" x14ac:dyDescent="0.25">
      <c r="A38" s="51" t="s">
        <v>138</v>
      </c>
      <c r="B38" s="51"/>
      <c r="C38" s="51"/>
      <c r="D38" s="52"/>
      <c r="E38" s="52">
        <v>158</v>
      </c>
      <c r="F38" s="51"/>
    </row>
    <row r="39" spans="1:6" x14ac:dyDescent="0.25">
      <c r="A39" s="51" t="s">
        <v>139</v>
      </c>
      <c r="B39" s="51"/>
      <c r="C39" s="51"/>
      <c r="D39" s="52"/>
      <c r="E39" s="52">
        <v>292.5</v>
      </c>
      <c r="F39" s="51"/>
    </row>
    <row r="40" spans="1:6" x14ac:dyDescent="0.25">
      <c r="A40" s="51"/>
      <c r="B40" s="51"/>
      <c r="C40" s="51"/>
      <c r="D40" s="52"/>
      <c r="E40" s="52"/>
      <c r="F40" s="51"/>
    </row>
    <row r="41" spans="1:6" x14ac:dyDescent="0.25">
      <c r="A41" s="35"/>
      <c r="B41" s="35"/>
      <c r="C41" s="35"/>
      <c r="D41" s="41">
        <f>SUM(D20:D33)</f>
        <v>1061.9000000000001</v>
      </c>
      <c r="E41" s="44">
        <f>SUM(E20:E40)</f>
        <v>1735.1999999999998</v>
      </c>
      <c r="F41" s="35"/>
    </row>
    <row r="42" spans="1:6" x14ac:dyDescent="0.25">
      <c r="A42" s="35"/>
      <c r="B42" s="35"/>
      <c r="C42" s="35"/>
      <c r="D42" s="35"/>
      <c r="E42" s="35"/>
      <c r="F42" s="35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D7B6-8EAB-4745-888C-25C175000FDC}">
  <dimension ref="A1:W69"/>
  <sheetViews>
    <sheetView topLeftCell="B1" workbookViewId="0">
      <selection activeCell="H26" sqref="H26"/>
    </sheetView>
  </sheetViews>
  <sheetFormatPr defaultRowHeight="15" x14ac:dyDescent="0.25"/>
  <cols>
    <col min="1" max="1" width="43.85546875" customWidth="1"/>
    <col min="2" max="2" width="14.7109375" customWidth="1"/>
    <col min="3" max="3" width="13.42578125" customWidth="1"/>
    <col min="4" max="4" width="13.28515625" customWidth="1"/>
    <col min="5" max="5" width="12.28515625" customWidth="1"/>
    <col min="6" max="6" width="15.28515625" customWidth="1"/>
    <col min="7" max="7" width="14" customWidth="1"/>
    <col min="8" max="17" width="10.42578125" customWidth="1"/>
    <col min="18" max="22" width="12.7109375" customWidth="1"/>
  </cols>
  <sheetData>
    <row r="1" spans="1:23" x14ac:dyDescent="0.25">
      <c r="B1" s="32">
        <v>46062</v>
      </c>
      <c r="C1" s="33" t="s">
        <v>82</v>
      </c>
      <c r="D1" s="33" t="s">
        <v>83</v>
      </c>
      <c r="E1" s="33" t="s">
        <v>84</v>
      </c>
      <c r="F1" s="33" t="s">
        <v>85</v>
      </c>
      <c r="G1" s="33" t="s">
        <v>86</v>
      </c>
      <c r="H1" s="33" t="s">
        <v>87</v>
      </c>
      <c r="I1" s="33" t="s">
        <v>88</v>
      </c>
      <c r="J1" s="33" t="s">
        <v>89</v>
      </c>
      <c r="K1" s="33" t="s">
        <v>90</v>
      </c>
      <c r="L1" s="33" t="s">
        <v>91</v>
      </c>
      <c r="M1" s="33" t="s">
        <v>92</v>
      </c>
      <c r="N1" s="33" t="s">
        <v>93</v>
      </c>
      <c r="O1" s="33" t="s">
        <v>92</v>
      </c>
      <c r="P1" s="33" t="s">
        <v>94</v>
      </c>
      <c r="Q1" s="33" t="s">
        <v>92</v>
      </c>
      <c r="R1" s="33" t="s">
        <v>95</v>
      </c>
      <c r="S1" s="33" t="s">
        <v>96</v>
      </c>
      <c r="T1" s="33" t="s">
        <v>97</v>
      </c>
      <c r="U1" s="33" t="s">
        <v>98</v>
      </c>
      <c r="V1" s="33" t="s">
        <v>99</v>
      </c>
      <c r="W1" s="33" t="s">
        <v>92</v>
      </c>
    </row>
    <row r="2" spans="1:23" x14ac:dyDescent="0.25">
      <c r="A2" s="34" t="s">
        <v>64</v>
      </c>
      <c r="B2" s="35">
        <v>96</v>
      </c>
      <c r="C2" s="35">
        <v>1</v>
      </c>
      <c r="D2" s="35"/>
      <c r="E2" s="35">
        <v>87</v>
      </c>
      <c r="F2" s="36">
        <f t="shared" ref="F2:F13" si="0">SUM(B2+E2-C2-D2)</f>
        <v>182</v>
      </c>
      <c r="G2" s="35"/>
      <c r="H2" s="35"/>
      <c r="I2" s="35"/>
      <c r="J2" s="35"/>
      <c r="K2" s="35">
        <v>8</v>
      </c>
      <c r="L2" s="35"/>
      <c r="M2" s="35">
        <f>SUM(F2-G2-H2-J2-K2-L2)</f>
        <v>174</v>
      </c>
      <c r="N2" s="35"/>
      <c r="O2" s="35">
        <f t="shared" ref="O2:O12" si="1">SUM(M2-N2)</f>
        <v>174</v>
      </c>
      <c r="P2" s="35"/>
      <c r="Q2" s="35">
        <f t="shared" ref="Q2:Q13" si="2">SUM(O2-P2)</f>
        <v>174</v>
      </c>
      <c r="R2" s="35"/>
      <c r="S2" s="35"/>
      <c r="T2" s="35"/>
      <c r="U2" s="35"/>
      <c r="V2" s="35"/>
      <c r="W2" s="35">
        <v>174</v>
      </c>
    </row>
    <row r="3" spans="1:23" x14ac:dyDescent="0.25">
      <c r="A3" s="34" t="s">
        <v>65</v>
      </c>
      <c r="B3" s="35">
        <v>44</v>
      </c>
      <c r="C3" s="35">
        <v>1</v>
      </c>
      <c r="D3" s="35"/>
      <c r="E3" s="35">
        <v>65</v>
      </c>
      <c r="F3" s="36">
        <f t="shared" si="0"/>
        <v>108</v>
      </c>
      <c r="G3" s="35"/>
      <c r="H3" s="35"/>
      <c r="I3" s="35"/>
      <c r="J3" s="35"/>
      <c r="K3" s="35"/>
      <c r="L3" s="35">
        <v>1</v>
      </c>
      <c r="M3" s="35">
        <f>SUM(F3-G3-H3-J3-K3-L3)</f>
        <v>107</v>
      </c>
      <c r="N3" s="35">
        <v>1</v>
      </c>
      <c r="O3" s="35">
        <v>101</v>
      </c>
      <c r="P3" s="35">
        <v>2</v>
      </c>
      <c r="Q3" s="35">
        <f t="shared" si="2"/>
        <v>99</v>
      </c>
      <c r="R3" s="35"/>
      <c r="S3" s="35"/>
      <c r="T3" s="35"/>
      <c r="U3" s="35"/>
      <c r="V3" s="35"/>
      <c r="W3" s="35">
        <v>99</v>
      </c>
    </row>
    <row r="4" spans="1:23" x14ac:dyDescent="0.25">
      <c r="A4" s="34" t="s">
        <v>66</v>
      </c>
      <c r="B4" s="35">
        <v>50</v>
      </c>
      <c r="C4" s="35">
        <v>0</v>
      </c>
      <c r="D4" s="35"/>
      <c r="E4" s="35">
        <v>143</v>
      </c>
      <c r="F4" s="36">
        <f t="shared" si="0"/>
        <v>193</v>
      </c>
      <c r="G4" s="35"/>
      <c r="H4" s="35"/>
      <c r="I4" s="35"/>
      <c r="J4" s="35"/>
      <c r="K4" s="35">
        <v>6</v>
      </c>
      <c r="L4" s="35"/>
      <c r="M4" s="35">
        <f>SUM(F4-G4-H4-J4-K4-L4)-8</f>
        <v>179</v>
      </c>
      <c r="N4" s="35"/>
      <c r="O4" s="35">
        <v>168</v>
      </c>
      <c r="P4" s="35"/>
      <c r="Q4" s="35">
        <f t="shared" si="2"/>
        <v>168</v>
      </c>
      <c r="R4" s="35"/>
      <c r="S4" s="35"/>
      <c r="T4" s="35"/>
      <c r="U4" s="35"/>
      <c r="V4" s="35"/>
      <c r="W4" s="35">
        <v>168</v>
      </c>
    </row>
    <row r="5" spans="1:23" x14ac:dyDescent="0.25">
      <c r="A5" s="34" t="s">
        <v>67</v>
      </c>
      <c r="B5" s="35">
        <v>77</v>
      </c>
      <c r="C5" s="35">
        <v>1</v>
      </c>
      <c r="D5" s="35"/>
      <c r="E5" s="35">
        <v>117</v>
      </c>
      <c r="F5" s="36">
        <f t="shared" si="0"/>
        <v>193</v>
      </c>
      <c r="G5" s="35"/>
      <c r="H5" s="35"/>
      <c r="I5" s="35"/>
      <c r="J5" s="35"/>
      <c r="K5" s="35"/>
      <c r="L5" s="35">
        <v>1</v>
      </c>
      <c r="M5" s="35">
        <f t="shared" ref="M5:M13" si="3">SUM(F5-G5-H5-J5-K5-L5)</f>
        <v>192</v>
      </c>
      <c r="N5" s="35"/>
      <c r="O5" s="35">
        <v>188</v>
      </c>
      <c r="P5" s="35"/>
      <c r="Q5" s="35">
        <f t="shared" si="2"/>
        <v>188</v>
      </c>
      <c r="R5" s="35"/>
      <c r="S5" s="35">
        <v>1</v>
      </c>
      <c r="T5" s="35"/>
      <c r="U5" s="35"/>
      <c r="V5" s="35"/>
      <c r="W5" s="35">
        <v>187</v>
      </c>
    </row>
    <row r="6" spans="1:23" x14ac:dyDescent="0.25">
      <c r="A6" s="34" t="s">
        <v>68</v>
      </c>
      <c r="B6" s="35">
        <v>31</v>
      </c>
      <c r="C6" s="35">
        <v>1</v>
      </c>
      <c r="D6" s="35">
        <v>1</v>
      </c>
      <c r="E6" s="35"/>
      <c r="F6" s="36">
        <v>42</v>
      </c>
      <c r="G6" s="35">
        <v>1</v>
      </c>
      <c r="H6" s="35"/>
      <c r="I6" s="35"/>
      <c r="J6" s="35">
        <v>1</v>
      </c>
      <c r="K6" s="35"/>
      <c r="L6" s="35"/>
      <c r="M6" s="35">
        <f t="shared" si="3"/>
        <v>40</v>
      </c>
      <c r="N6" s="35"/>
      <c r="O6" s="35">
        <f t="shared" si="1"/>
        <v>40</v>
      </c>
      <c r="P6" s="35">
        <v>2</v>
      </c>
      <c r="Q6" s="35">
        <f t="shared" si="2"/>
        <v>38</v>
      </c>
      <c r="R6" s="35"/>
      <c r="S6" s="35"/>
      <c r="T6" s="35"/>
      <c r="U6" s="35"/>
      <c r="V6" s="35"/>
      <c r="W6" s="35">
        <v>38</v>
      </c>
    </row>
    <row r="7" spans="1:23" x14ac:dyDescent="0.25">
      <c r="A7" s="34" t="s">
        <v>69</v>
      </c>
      <c r="B7" s="35">
        <v>28</v>
      </c>
      <c r="C7" s="35">
        <v>3</v>
      </c>
      <c r="D7" s="35"/>
      <c r="E7" s="35"/>
      <c r="F7" s="36">
        <f t="shared" si="0"/>
        <v>25</v>
      </c>
      <c r="G7" s="35"/>
      <c r="H7" s="35"/>
      <c r="I7" s="35"/>
      <c r="J7" s="35"/>
      <c r="K7" s="35"/>
      <c r="L7" s="35"/>
      <c r="M7" s="35">
        <f t="shared" si="3"/>
        <v>25</v>
      </c>
      <c r="N7" s="35"/>
      <c r="O7" s="35">
        <f t="shared" si="1"/>
        <v>25</v>
      </c>
      <c r="P7" s="35">
        <v>4</v>
      </c>
      <c r="Q7" s="35">
        <f t="shared" si="2"/>
        <v>21</v>
      </c>
      <c r="R7" s="35"/>
      <c r="S7" s="35"/>
      <c r="T7" s="35"/>
      <c r="U7" s="35"/>
      <c r="V7" s="35"/>
      <c r="W7" s="35">
        <v>21</v>
      </c>
    </row>
    <row r="8" spans="1:23" x14ac:dyDescent="0.25">
      <c r="A8" s="34" t="s">
        <v>70</v>
      </c>
      <c r="B8" s="35">
        <v>70</v>
      </c>
      <c r="C8" s="35">
        <v>2</v>
      </c>
      <c r="D8" s="35"/>
      <c r="E8" s="35"/>
      <c r="F8" s="36">
        <f t="shared" si="0"/>
        <v>68</v>
      </c>
      <c r="G8" s="35">
        <v>1</v>
      </c>
      <c r="H8" s="35">
        <v>1</v>
      </c>
      <c r="I8" s="35"/>
      <c r="J8" s="35"/>
      <c r="K8" s="35">
        <v>1</v>
      </c>
      <c r="L8" s="35">
        <v>1</v>
      </c>
      <c r="M8" s="35">
        <f t="shared" si="3"/>
        <v>64</v>
      </c>
      <c r="N8" s="35"/>
      <c r="O8" s="35">
        <f t="shared" si="1"/>
        <v>64</v>
      </c>
      <c r="P8" s="35">
        <v>5</v>
      </c>
      <c r="Q8" s="35">
        <f t="shared" si="2"/>
        <v>59</v>
      </c>
      <c r="R8" s="35"/>
      <c r="S8" s="35"/>
      <c r="T8" s="35"/>
      <c r="U8" s="35"/>
      <c r="V8" s="35"/>
      <c r="W8" s="35">
        <v>59</v>
      </c>
    </row>
    <row r="9" spans="1:23" x14ac:dyDescent="0.25">
      <c r="A9" s="34" t="s">
        <v>71</v>
      </c>
      <c r="B9" s="35">
        <v>72</v>
      </c>
      <c r="C9" s="35">
        <v>8</v>
      </c>
      <c r="D9" s="35"/>
      <c r="E9" s="35"/>
      <c r="F9" s="36">
        <f t="shared" si="0"/>
        <v>64</v>
      </c>
      <c r="G9" s="35"/>
      <c r="H9" s="35"/>
      <c r="I9" s="35"/>
      <c r="J9" s="35"/>
      <c r="K9" s="35">
        <v>1</v>
      </c>
      <c r="L9" s="35"/>
      <c r="M9" s="35">
        <f t="shared" si="3"/>
        <v>63</v>
      </c>
      <c r="N9" s="35">
        <v>1</v>
      </c>
      <c r="O9" s="35">
        <f t="shared" si="1"/>
        <v>62</v>
      </c>
      <c r="P9" s="35">
        <v>5</v>
      </c>
      <c r="Q9" s="35">
        <f t="shared" si="2"/>
        <v>57</v>
      </c>
      <c r="R9" s="35"/>
      <c r="S9" s="35"/>
      <c r="T9" s="35"/>
      <c r="U9" s="35"/>
      <c r="V9" s="35"/>
      <c r="W9" s="35">
        <v>57</v>
      </c>
    </row>
    <row r="10" spans="1:23" x14ac:dyDescent="0.25">
      <c r="A10" s="34" t="s">
        <v>72</v>
      </c>
      <c r="B10" s="35">
        <v>0</v>
      </c>
      <c r="C10" s="35">
        <v>0</v>
      </c>
      <c r="D10" s="35"/>
      <c r="E10" s="35"/>
      <c r="F10" s="36">
        <f t="shared" si="0"/>
        <v>0</v>
      </c>
      <c r="G10" s="35"/>
      <c r="H10" s="35"/>
      <c r="I10" s="35"/>
      <c r="J10" s="35"/>
      <c r="K10" s="35">
        <v>8</v>
      </c>
      <c r="L10" s="35"/>
      <c r="M10" s="37">
        <f t="shared" si="3"/>
        <v>-8</v>
      </c>
      <c r="N10" s="37"/>
      <c r="O10" s="38">
        <v>3</v>
      </c>
      <c r="P10" s="39"/>
      <c r="Q10" s="35">
        <f t="shared" si="2"/>
        <v>3</v>
      </c>
      <c r="R10" s="35"/>
      <c r="S10" s="35"/>
      <c r="T10" s="35"/>
      <c r="U10" s="35"/>
      <c r="V10" s="35"/>
      <c r="W10" s="35">
        <v>3</v>
      </c>
    </row>
    <row r="11" spans="1:23" x14ac:dyDescent="0.25">
      <c r="A11" s="34" t="s">
        <v>73</v>
      </c>
      <c r="B11" s="35">
        <v>0</v>
      </c>
      <c r="C11" s="35">
        <v>0</v>
      </c>
      <c r="D11" s="35"/>
      <c r="E11" s="35"/>
      <c r="F11" s="36">
        <f t="shared" si="0"/>
        <v>0</v>
      </c>
      <c r="G11" s="35"/>
      <c r="H11" s="35"/>
      <c r="I11" s="35"/>
      <c r="J11" s="35"/>
      <c r="K11" s="35"/>
      <c r="L11" s="35"/>
      <c r="M11" s="35">
        <f t="shared" si="3"/>
        <v>0</v>
      </c>
      <c r="N11" s="35"/>
      <c r="O11" s="35">
        <v>5</v>
      </c>
      <c r="P11" s="35"/>
      <c r="Q11" s="35">
        <f t="shared" si="2"/>
        <v>5</v>
      </c>
      <c r="R11" s="35">
        <v>2</v>
      </c>
      <c r="S11" s="35"/>
      <c r="T11" s="35"/>
      <c r="U11" s="35"/>
      <c r="V11" s="35"/>
      <c r="W11" s="35">
        <v>3</v>
      </c>
    </row>
    <row r="12" spans="1:23" x14ac:dyDescent="0.25">
      <c r="A12" s="34" t="s">
        <v>74</v>
      </c>
      <c r="B12" s="35">
        <v>0</v>
      </c>
      <c r="C12" s="35">
        <v>0</v>
      </c>
      <c r="D12" s="35"/>
      <c r="E12" s="35"/>
      <c r="F12" s="36">
        <v>10</v>
      </c>
      <c r="G12" s="35"/>
      <c r="H12" s="35"/>
      <c r="I12" s="35"/>
      <c r="J12" s="35"/>
      <c r="K12" s="35"/>
      <c r="L12" s="35"/>
      <c r="M12" s="35">
        <f t="shared" si="3"/>
        <v>10</v>
      </c>
      <c r="N12" s="35"/>
      <c r="O12" s="35">
        <f t="shared" si="1"/>
        <v>10</v>
      </c>
      <c r="P12" s="35"/>
      <c r="Q12" s="35">
        <f t="shared" si="2"/>
        <v>10</v>
      </c>
      <c r="R12" s="35"/>
      <c r="S12" s="35"/>
      <c r="T12" s="35"/>
      <c r="U12" s="35">
        <v>2</v>
      </c>
      <c r="V12" s="35"/>
      <c r="W12" s="35">
        <v>10</v>
      </c>
    </row>
    <row r="13" spans="1:23" x14ac:dyDescent="0.25">
      <c r="A13" s="34" t="s">
        <v>75</v>
      </c>
      <c r="B13" s="35">
        <v>0</v>
      </c>
      <c r="C13" s="35">
        <v>0</v>
      </c>
      <c r="D13" s="35"/>
      <c r="E13" s="35"/>
      <c r="F13" s="36">
        <f t="shared" si="0"/>
        <v>0</v>
      </c>
      <c r="G13" s="35"/>
      <c r="H13" s="35"/>
      <c r="I13" s="35"/>
      <c r="J13" s="35"/>
      <c r="K13" s="35"/>
      <c r="L13" s="35"/>
      <c r="M13" s="35">
        <f t="shared" si="3"/>
        <v>0</v>
      </c>
      <c r="N13" s="35">
        <v>2</v>
      </c>
      <c r="O13" s="38">
        <v>4</v>
      </c>
      <c r="P13" s="39"/>
      <c r="Q13" s="35">
        <f t="shared" si="2"/>
        <v>4</v>
      </c>
      <c r="R13" s="35"/>
      <c r="S13" s="35"/>
      <c r="T13" s="35"/>
      <c r="U13" s="35"/>
      <c r="V13" s="35">
        <v>1</v>
      </c>
      <c r="W13" s="35">
        <v>4</v>
      </c>
    </row>
    <row r="14" spans="1:23" x14ac:dyDescent="0.25">
      <c r="A14" s="40" t="s">
        <v>100</v>
      </c>
      <c r="B14" s="35"/>
      <c r="C14" s="41">
        <v>1465</v>
      </c>
      <c r="D14" s="42"/>
      <c r="E14" s="42"/>
      <c r="F14" s="42"/>
      <c r="G14" s="42">
        <v>134.5</v>
      </c>
      <c r="H14" s="42">
        <v>79</v>
      </c>
      <c r="I14" s="41">
        <f>SUM(C14:H14)</f>
        <v>1678.5</v>
      </c>
      <c r="J14" s="43">
        <v>55.5</v>
      </c>
      <c r="K14" s="43">
        <v>1187.4000000000001</v>
      </c>
      <c r="L14" s="43">
        <v>359</v>
      </c>
      <c r="M14" s="43"/>
      <c r="N14" s="43">
        <f>86+86+79+140</f>
        <v>391</v>
      </c>
      <c r="O14" s="41"/>
      <c r="P14" s="41">
        <v>1356</v>
      </c>
      <c r="Q14" s="41"/>
      <c r="R14" s="41">
        <v>170</v>
      </c>
      <c r="S14" s="41">
        <v>129.9</v>
      </c>
      <c r="T14" s="44">
        <f>SUM(P14,N14,L14,K14,J14,I14)</f>
        <v>5027.3999999999996</v>
      </c>
      <c r="U14" s="44">
        <v>172</v>
      </c>
      <c r="V14" s="44">
        <v>86</v>
      </c>
      <c r="W14" s="41"/>
    </row>
    <row r="15" spans="1:23" x14ac:dyDescent="0.25">
      <c r="A15" s="45"/>
    </row>
    <row r="16" spans="1:23" x14ac:dyDescent="0.25">
      <c r="B16" s="32" t="s">
        <v>101</v>
      </c>
      <c r="C16" s="33" t="s">
        <v>102</v>
      </c>
      <c r="D16" s="33" t="s">
        <v>103</v>
      </c>
      <c r="E16" s="33" t="s">
        <v>104</v>
      </c>
      <c r="F16" s="33" t="s">
        <v>105</v>
      </c>
      <c r="G16" s="32" t="s">
        <v>106</v>
      </c>
    </row>
    <row r="17" spans="1:7" x14ac:dyDescent="0.25">
      <c r="A17" s="34" t="s">
        <v>64</v>
      </c>
      <c r="B17" s="35">
        <v>174</v>
      </c>
      <c r="C17" s="35">
        <v>0</v>
      </c>
      <c r="D17" s="35"/>
      <c r="E17" s="35"/>
      <c r="F17" s="36"/>
      <c r="G17" s="35">
        <f>SUM(B17-C17-D17-E17-F17)</f>
        <v>174</v>
      </c>
    </row>
    <row r="18" spans="1:7" x14ac:dyDescent="0.25">
      <c r="A18" s="34" t="s">
        <v>65</v>
      </c>
      <c r="B18" s="35">
        <v>99</v>
      </c>
      <c r="C18" s="35">
        <v>1</v>
      </c>
      <c r="D18" s="35"/>
      <c r="E18" s="35"/>
      <c r="F18" s="36"/>
      <c r="G18" s="35">
        <f t="shared" ref="G18:G28" si="4">SUM(B18-C18-D18-E18-F18)</f>
        <v>98</v>
      </c>
    </row>
    <row r="19" spans="1:7" x14ac:dyDescent="0.25">
      <c r="A19" s="34" t="s">
        <v>66</v>
      </c>
      <c r="B19" s="35">
        <v>168</v>
      </c>
      <c r="C19" s="35">
        <v>0</v>
      </c>
      <c r="D19" s="35"/>
      <c r="E19" s="35"/>
      <c r="F19" s="36"/>
      <c r="G19" s="35">
        <f t="shared" si="4"/>
        <v>168</v>
      </c>
    </row>
    <row r="20" spans="1:7" x14ac:dyDescent="0.25">
      <c r="A20" s="34" t="s">
        <v>67</v>
      </c>
      <c r="B20" s="35">
        <v>187</v>
      </c>
      <c r="C20" s="35">
        <v>0</v>
      </c>
      <c r="D20" s="35"/>
      <c r="E20" s="35"/>
      <c r="F20" s="36"/>
      <c r="G20" s="35">
        <f t="shared" si="4"/>
        <v>187</v>
      </c>
    </row>
    <row r="21" spans="1:7" x14ac:dyDescent="0.25">
      <c r="A21" s="34" t="s">
        <v>68</v>
      </c>
      <c r="B21" s="35">
        <v>38</v>
      </c>
      <c r="C21" s="35">
        <v>0</v>
      </c>
      <c r="D21" s="35"/>
      <c r="E21" s="35"/>
      <c r="F21" s="36"/>
      <c r="G21" s="35">
        <f t="shared" si="4"/>
        <v>38</v>
      </c>
    </row>
    <row r="22" spans="1:7" x14ac:dyDescent="0.25">
      <c r="A22" s="34" t="s">
        <v>69</v>
      </c>
      <c r="B22" s="35">
        <v>21</v>
      </c>
      <c r="C22" s="35">
        <v>0</v>
      </c>
      <c r="D22" s="35"/>
      <c r="E22" s="35"/>
      <c r="F22" s="36"/>
      <c r="G22" s="35">
        <f t="shared" si="4"/>
        <v>21</v>
      </c>
    </row>
    <row r="23" spans="1:7" x14ac:dyDescent="0.25">
      <c r="A23" s="34" t="s">
        <v>70</v>
      </c>
      <c r="B23" s="35">
        <v>59</v>
      </c>
      <c r="C23" s="35">
        <v>1</v>
      </c>
      <c r="D23" s="35"/>
      <c r="E23" s="35"/>
      <c r="F23" s="36"/>
      <c r="G23" s="35">
        <f t="shared" si="4"/>
        <v>58</v>
      </c>
    </row>
    <row r="24" spans="1:7" x14ac:dyDescent="0.25">
      <c r="A24" s="34" t="s">
        <v>71</v>
      </c>
      <c r="B24" s="35">
        <v>57</v>
      </c>
      <c r="C24" s="35">
        <v>1</v>
      </c>
      <c r="D24" s="35"/>
      <c r="E24" s="35"/>
      <c r="F24" s="36"/>
      <c r="G24" s="35">
        <f t="shared" si="4"/>
        <v>56</v>
      </c>
    </row>
    <row r="25" spans="1:7" x14ac:dyDescent="0.25">
      <c r="A25" s="34" t="s">
        <v>72</v>
      </c>
      <c r="B25" s="35">
        <v>3</v>
      </c>
      <c r="C25" s="35">
        <v>0</v>
      </c>
      <c r="D25" s="35"/>
      <c r="E25" s="35"/>
      <c r="F25" s="36"/>
      <c r="G25" s="35">
        <f t="shared" si="4"/>
        <v>3</v>
      </c>
    </row>
    <row r="26" spans="1:7" x14ac:dyDescent="0.25">
      <c r="A26" s="34" t="s">
        <v>73</v>
      </c>
      <c r="B26" s="35">
        <v>3</v>
      </c>
      <c r="C26" s="35">
        <v>1</v>
      </c>
      <c r="D26" s="35"/>
      <c r="E26" s="35"/>
      <c r="F26" s="36"/>
      <c r="G26" s="35">
        <f t="shared" si="4"/>
        <v>2</v>
      </c>
    </row>
    <row r="27" spans="1:7" x14ac:dyDescent="0.25">
      <c r="A27" s="34" t="s">
        <v>74</v>
      </c>
      <c r="B27" s="35">
        <v>10</v>
      </c>
      <c r="C27" s="35">
        <v>0</v>
      </c>
      <c r="D27" s="35"/>
      <c r="E27" s="35"/>
      <c r="F27" s="36"/>
      <c r="G27" s="35">
        <f t="shared" si="4"/>
        <v>10</v>
      </c>
    </row>
    <row r="28" spans="1:7" x14ac:dyDescent="0.25">
      <c r="A28" s="34" t="s">
        <v>75</v>
      </c>
      <c r="B28" s="35">
        <v>4</v>
      </c>
      <c r="C28" s="35">
        <v>0</v>
      </c>
      <c r="D28" s="35"/>
      <c r="E28" s="35"/>
      <c r="F28" s="36"/>
      <c r="G28" s="35">
        <f t="shared" si="4"/>
        <v>4</v>
      </c>
    </row>
    <row r="29" spans="1:7" x14ac:dyDescent="0.25">
      <c r="A29" s="40" t="s">
        <v>100</v>
      </c>
      <c r="B29" s="35"/>
      <c r="C29" s="41">
        <v>403.9</v>
      </c>
      <c r="D29" s="42"/>
      <c r="E29" s="42"/>
      <c r="F29" s="42"/>
      <c r="G29" s="35"/>
    </row>
    <row r="30" spans="1:7" x14ac:dyDescent="0.25">
      <c r="A30" s="45"/>
    </row>
    <row r="31" spans="1:7" x14ac:dyDescent="0.25">
      <c r="A31" s="45"/>
    </row>
    <row r="32" spans="1:7" x14ac:dyDescent="0.25">
      <c r="A32" s="45"/>
    </row>
    <row r="33" spans="1:22" x14ac:dyDescent="0.25">
      <c r="A33" s="45"/>
      <c r="T33" s="46"/>
      <c r="U33" s="46"/>
      <c r="V33" s="46"/>
    </row>
    <row r="34" spans="1:22" x14ac:dyDescent="0.25">
      <c r="A34" s="47" t="s">
        <v>107</v>
      </c>
      <c r="B34" s="47"/>
      <c r="C34" s="47" t="s">
        <v>108</v>
      </c>
    </row>
    <row r="35" spans="1:22" x14ac:dyDescent="0.25">
      <c r="A35" s="48" t="s">
        <v>64</v>
      </c>
      <c r="B35" s="30">
        <v>159.9</v>
      </c>
      <c r="C35" s="49">
        <f t="shared" ref="C35:C46" si="5">SUM(B35*W2)</f>
        <v>27822.600000000002</v>
      </c>
    </row>
    <row r="36" spans="1:22" x14ac:dyDescent="0.25">
      <c r="A36" s="48" t="s">
        <v>65</v>
      </c>
      <c r="B36" s="30">
        <v>159.9</v>
      </c>
      <c r="C36" s="49">
        <f t="shared" si="5"/>
        <v>15830.1</v>
      </c>
    </row>
    <row r="37" spans="1:22" x14ac:dyDescent="0.25">
      <c r="A37" s="48" t="s">
        <v>66</v>
      </c>
      <c r="B37" s="30">
        <v>129.9</v>
      </c>
      <c r="C37" s="49">
        <f t="shared" si="5"/>
        <v>21823.200000000001</v>
      </c>
    </row>
    <row r="38" spans="1:22" x14ac:dyDescent="0.25">
      <c r="A38" s="48" t="s">
        <v>67</v>
      </c>
      <c r="B38" s="30">
        <v>129.9</v>
      </c>
      <c r="C38" s="49">
        <f t="shared" si="5"/>
        <v>24291.3</v>
      </c>
    </row>
    <row r="39" spans="1:22" x14ac:dyDescent="0.25">
      <c r="A39" s="48" t="s">
        <v>68</v>
      </c>
      <c r="B39" s="30">
        <v>55.5</v>
      </c>
      <c r="C39" s="49">
        <f t="shared" si="5"/>
        <v>2109</v>
      </c>
    </row>
    <row r="40" spans="1:22" x14ac:dyDescent="0.25">
      <c r="A40" s="48" t="s">
        <v>69</v>
      </c>
      <c r="B40" s="30">
        <v>55.5</v>
      </c>
      <c r="C40" s="49">
        <f t="shared" si="5"/>
        <v>1165.5</v>
      </c>
    </row>
    <row r="41" spans="1:22" x14ac:dyDescent="0.25">
      <c r="A41" s="48" t="s">
        <v>70</v>
      </c>
      <c r="B41" s="30">
        <v>79</v>
      </c>
      <c r="C41" s="49">
        <f t="shared" si="5"/>
        <v>4661</v>
      </c>
    </row>
    <row r="42" spans="1:22" x14ac:dyDescent="0.25">
      <c r="A42" s="48" t="s">
        <v>71</v>
      </c>
      <c r="B42" s="30">
        <v>79</v>
      </c>
      <c r="C42" s="49">
        <f t="shared" si="5"/>
        <v>4503</v>
      </c>
    </row>
    <row r="43" spans="1:22" x14ac:dyDescent="0.25">
      <c r="A43" s="48" t="s">
        <v>75</v>
      </c>
      <c r="B43" s="30">
        <v>86</v>
      </c>
      <c r="C43" s="49">
        <f t="shared" si="5"/>
        <v>258</v>
      </c>
    </row>
    <row r="44" spans="1:22" x14ac:dyDescent="0.25">
      <c r="A44" s="48" t="s">
        <v>109</v>
      </c>
      <c r="B44" s="30">
        <v>86</v>
      </c>
      <c r="C44" s="49">
        <f t="shared" si="5"/>
        <v>258</v>
      </c>
    </row>
    <row r="45" spans="1:22" x14ac:dyDescent="0.25">
      <c r="A45" s="48" t="s">
        <v>73</v>
      </c>
      <c r="B45" s="30">
        <v>46</v>
      </c>
      <c r="C45" s="49">
        <f t="shared" si="5"/>
        <v>460</v>
      </c>
    </row>
    <row r="46" spans="1:22" x14ac:dyDescent="0.25">
      <c r="A46" s="48" t="s">
        <v>110</v>
      </c>
      <c r="B46" s="30">
        <v>46</v>
      </c>
      <c r="C46" s="49">
        <f t="shared" si="5"/>
        <v>184</v>
      </c>
    </row>
    <row r="47" spans="1:22" x14ac:dyDescent="0.25">
      <c r="B47" s="30"/>
      <c r="C47" s="46">
        <f>SUM(C35:C46)</f>
        <v>103365.70000000001</v>
      </c>
    </row>
    <row r="49" spans="1:3" x14ac:dyDescent="0.25">
      <c r="A49" s="47" t="s">
        <v>111</v>
      </c>
      <c r="B49" s="47"/>
      <c r="C49" s="47" t="s">
        <v>108</v>
      </c>
    </row>
    <row r="50" spans="1:3" x14ac:dyDescent="0.25">
      <c r="A50" s="48" t="s">
        <v>64</v>
      </c>
      <c r="B50" s="30">
        <v>99.9</v>
      </c>
      <c r="C50" s="30">
        <f t="shared" ref="C50:C61" si="6">SUM(B50*W2)</f>
        <v>17382.600000000002</v>
      </c>
    </row>
    <row r="51" spans="1:3" x14ac:dyDescent="0.25">
      <c r="A51" s="48" t="s">
        <v>65</v>
      </c>
      <c r="B51" s="30">
        <v>99.9</v>
      </c>
      <c r="C51" s="30">
        <f t="shared" si="6"/>
        <v>9890.1</v>
      </c>
    </row>
    <row r="52" spans="1:3" x14ac:dyDescent="0.25">
      <c r="A52" s="48" t="s">
        <v>66</v>
      </c>
      <c r="B52" s="30">
        <v>69.900000000000006</v>
      </c>
      <c r="C52" s="30">
        <f t="shared" si="6"/>
        <v>11743.2</v>
      </c>
    </row>
    <row r="53" spans="1:3" x14ac:dyDescent="0.25">
      <c r="A53" s="48" t="s">
        <v>67</v>
      </c>
      <c r="B53" s="30">
        <v>69.900000000000006</v>
      </c>
      <c r="C53" s="30">
        <f t="shared" si="6"/>
        <v>13071.300000000001</v>
      </c>
    </row>
    <row r="54" spans="1:3" x14ac:dyDescent="0.25">
      <c r="A54" s="48" t="s">
        <v>68</v>
      </c>
      <c r="B54" s="30">
        <v>34.1</v>
      </c>
      <c r="C54" s="30">
        <f t="shared" si="6"/>
        <v>1295.8</v>
      </c>
    </row>
    <row r="55" spans="1:3" x14ac:dyDescent="0.25">
      <c r="A55" s="48" t="s">
        <v>69</v>
      </c>
      <c r="B55" s="30">
        <v>34.1</v>
      </c>
      <c r="C55" s="30">
        <f t="shared" si="6"/>
        <v>716.1</v>
      </c>
    </row>
    <row r="56" spans="1:3" x14ac:dyDescent="0.25">
      <c r="A56" s="48" t="s">
        <v>70</v>
      </c>
      <c r="B56" s="30">
        <v>53</v>
      </c>
      <c r="C56" s="30">
        <f t="shared" si="6"/>
        <v>3127</v>
      </c>
    </row>
    <row r="57" spans="1:3" x14ac:dyDescent="0.25">
      <c r="A57" s="48" t="s">
        <v>71</v>
      </c>
      <c r="B57" s="30">
        <v>53</v>
      </c>
      <c r="C57" s="30">
        <f t="shared" si="6"/>
        <v>3021</v>
      </c>
    </row>
    <row r="58" spans="1:3" x14ac:dyDescent="0.25">
      <c r="A58" s="48" t="s">
        <v>75</v>
      </c>
      <c r="B58" s="30">
        <v>56.7</v>
      </c>
      <c r="C58" s="30">
        <f t="shared" si="6"/>
        <v>170.10000000000002</v>
      </c>
    </row>
    <row r="59" spans="1:3" x14ac:dyDescent="0.25">
      <c r="A59" s="48" t="s">
        <v>109</v>
      </c>
      <c r="B59" s="30">
        <v>56.7</v>
      </c>
      <c r="C59" s="30">
        <f t="shared" si="6"/>
        <v>170.10000000000002</v>
      </c>
    </row>
    <row r="60" spans="1:3" x14ac:dyDescent="0.25">
      <c r="A60" s="48" t="s">
        <v>73</v>
      </c>
      <c r="B60" s="30">
        <v>33.5</v>
      </c>
      <c r="C60" s="30">
        <f t="shared" si="6"/>
        <v>335</v>
      </c>
    </row>
    <row r="61" spans="1:3" x14ac:dyDescent="0.25">
      <c r="A61" s="48" t="s">
        <v>110</v>
      </c>
      <c r="B61" s="30">
        <v>33.5</v>
      </c>
      <c r="C61" s="30">
        <f t="shared" si="6"/>
        <v>134</v>
      </c>
    </row>
    <row r="62" spans="1:3" x14ac:dyDescent="0.25">
      <c r="B62" s="30"/>
      <c r="C62" s="31">
        <f>SUM(C50:C61)</f>
        <v>61056.30000000001</v>
      </c>
    </row>
    <row r="67" spans="1:5" x14ac:dyDescent="0.25">
      <c r="A67" t="s">
        <v>112</v>
      </c>
      <c r="B67">
        <v>37</v>
      </c>
      <c r="C67">
        <v>13</v>
      </c>
      <c r="D67">
        <f>SUM(C67*B67)</f>
        <v>481</v>
      </c>
      <c r="E67" s="50">
        <f>SUM(B67*45)</f>
        <v>1665</v>
      </c>
    </row>
    <row r="68" spans="1:5" x14ac:dyDescent="0.25">
      <c r="A68" t="s">
        <v>113</v>
      </c>
      <c r="B68">
        <v>299</v>
      </c>
      <c r="C68">
        <v>5</v>
      </c>
      <c r="D68">
        <f>SUM(B68*C68)</f>
        <v>1495</v>
      </c>
    </row>
    <row r="69" spans="1:5" x14ac:dyDescent="0.25">
      <c r="D69">
        <f>SUM(D67:D68)</f>
        <v>1976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Produtos</vt:lpstr>
      <vt:lpstr>Vendas diárias</vt:lpstr>
      <vt:lpstr>Financeiro</vt:lpstr>
      <vt:lpstr>Resumo</vt:lpstr>
      <vt:lpstr>Vendas</vt:lpstr>
      <vt:lpstr>Estoque inicio Loja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Rosani m Carazzatto</cp:lastModifiedBy>
  <dcterms:created xsi:type="dcterms:W3CDTF">2026-03-16T12:54:42Z</dcterms:created>
  <dcterms:modified xsi:type="dcterms:W3CDTF">2026-03-26T12:18:31Z</dcterms:modified>
</cp:coreProperties>
</file>